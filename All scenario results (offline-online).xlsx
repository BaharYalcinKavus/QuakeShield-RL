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8"/>
  <workbookPr/>
  <mc:AlternateContent xmlns:mc="http://schemas.openxmlformats.org/markup-compatibility/2006">
    <mc:Choice Requires="x15">
      <x15ac:absPath xmlns:x15ac="http://schemas.microsoft.com/office/spreadsheetml/2010/11/ac" url="C:\BaharHoca deprem testleri\"/>
    </mc:Choice>
  </mc:AlternateContent>
  <xr:revisionPtr revIDLastSave="0" documentId="13_ncr:1_{20D129B0-2228-437A-9CC3-8F2D83CA7FA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offline" sheetId="1" r:id="rId1"/>
    <sheet name="onlineplan" sheetId="4" r:id="rId2"/>
    <sheet name="allofflinescenarios" sheetId="2" r:id="rId3"/>
    <sheet name="allonline scenarios" sheetId="3" r:id="rId4"/>
    <sheet name="deterministic all_RL" sheetId="5" r:id="rId5"/>
    <sheet name="COMPARISON 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6" l="1"/>
  <c r="F12" i="6"/>
  <c r="H261" i="5"/>
  <c r="J11" i="6"/>
  <c r="F11" i="6"/>
  <c r="I231" i="5"/>
  <c r="J10" i="6"/>
  <c r="J9" i="6"/>
  <c r="G177" i="5"/>
  <c r="J8" i="6"/>
  <c r="H153" i="5"/>
  <c r="J7" i="6"/>
  <c r="J6" i="6"/>
  <c r="I97" i="5"/>
  <c r="J5" i="6"/>
  <c r="J4" i="6"/>
  <c r="I47" i="5"/>
  <c r="J3" i="6"/>
  <c r="H15" i="5"/>
  <c r="Q14" i="5"/>
  <c r="M21" i="1"/>
  <c r="M22" i="1"/>
  <c r="G241" i="4"/>
  <c r="M20" i="1"/>
  <c r="M19" i="1"/>
  <c r="M18" i="1"/>
  <c r="M17" i="1"/>
  <c r="M16" i="1"/>
  <c r="M15" i="1"/>
  <c r="M14" i="1"/>
  <c r="M13" i="1"/>
  <c r="J13" i="1"/>
  <c r="M12" i="1"/>
  <c r="M11" i="1"/>
  <c r="M10" i="1"/>
  <c r="L10" i="1"/>
  <c r="M9" i="1"/>
  <c r="M8" i="1"/>
  <c r="M7" i="1"/>
  <c r="M6" i="1"/>
  <c r="M5" i="1"/>
  <c r="M4" i="1"/>
  <c r="M3" i="1"/>
  <c r="L3" i="1"/>
  <c r="M2" i="1"/>
</calcChain>
</file>

<file path=xl/sharedStrings.xml><?xml version="1.0" encoding="utf-8"?>
<sst xmlns="http://schemas.openxmlformats.org/spreadsheetml/2006/main" count="1822" uniqueCount="1195">
  <si>
    <t xml:space="preserve">Scenaryo 1 </t>
  </si>
  <si>
    <t>depot</t>
  </si>
  <si>
    <t>Vehicle Count</t>
  </si>
  <si>
    <t>Total shaped reward</t>
  </si>
  <si>
    <t>[SCENARIO 0] Depot=141</t>
  </si>
  <si>
    <t>[SCENARIO 0] demands=[35, 92, 316, 599, 748] | total=5 | capacities=[2, 2, 1]</t>
  </si>
  <si>
    <t>[Graph change] nonzero edges changed: 484 (r≈0.438). Recompute SP ...</t>
  </si>
  <si>
    <t>=== CONNECTIVITY CHECK ===</t>
  </si>
  <si>
    <t>- Target 316: reachable ✓  distance=1379.95 | path: [141, 158, 36, 38, 164, 240, 216, 212, 732, 185, 680, 729, 730, 561, 2, 503, 349, 653, 364, 316]</t>
  </si>
  <si>
    <t>- Target 748: reachable ✓  distance=3713.31 | path: [141, 158, 36, 38, 164, 240, 156, 210, 236, 203, 490, 482, 616, 247, 195, 626, 666, 168, 137, 209, 377, 130, 521, 522, 115, 756, 114, 433, 113, 755, 477, 108, 100, 107, 99, 103, 98, 748]</t>
  </si>
  <si>
    <t>- Target 92: reachable ✓  distance=706.79 | path: [141, 158, 36, 38, 164, 240, 156, 210, 236, 203, 92]</t>
  </si>
  <si>
    <t>- Target 599: reachable ✓  distance=1165.84 | path: [141, 197, 643, 737, 157, 15, 14, 636, 302, 53, 321, 638, 44, 48, 517, 49, 285, 50, 51, 304, 278, 598, 599]</t>
  </si>
  <si>
    <t>- Target 35: reachable ✓  distance=166.56 | path: [141, 158, 35]</t>
  </si>
  <si>
    <t>=== END CONNECTIVITY CHECK ===</t>
  </si>
  <si>
    <t>[RISK] r=0.438 | closed≈248 | open_ratio=79.0%</t>
  </si>
  <si>
    <t>2025-10-15 12:12:34.297149: I tensorflow/stream_executor/cuda/cuda_blas.cc:1786] TensorFloat-32 will be used for the matrix multiplication. This will only be logged once.</t>
  </si>
  <si>
    <t>[TEST] veh=0 terminal reason=empty_home, loc=141, steps_since_delivery=19</t>
  </si>
  <si>
    <t>[TEST] veh=1 terminal reason=empty_home, loc=141, steps_since_delivery=22</t>
  </si>
  <si>
    <t>[TEST] veh=2 terminal reason=solved, loc=141, steps_since_delivery=40</t>
  </si>
  <si>
    <t>Closed Roads</t>
  </si>
  <si>
    <t>[2, 2, 1]</t>
  </si>
  <si>
    <t>Capacities</t>
  </si>
  <si>
    <t>Demands</t>
  </si>
  <si>
    <t>[35, 92, 316, 599, 748]</t>
  </si>
  <si>
    <t>Vehicle 1 Distance</t>
  </si>
  <si>
    <t>Vehicle 2 Distance</t>
  </si>
  <si>
    <t>Vehicle 3 Distance</t>
  </si>
  <si>
    <t>Open ratio</t>
  </si>
  <si>
    <t>Solved</t>
  </si>
  <si>
    <t>Total distance</t>
  </si>
  <si>
    <t>[1, 1, 0]</t>
  </si>
  <si>
    <t>[77, 87, 202, 316, 476, 607]</t>
  </si>
  <si>
    <t>[2, 2, 2]</t>
  </si>
  <si>
    <t>- Target 316: reachable ✓  distance=2441.60 | path: [623, 315, 444, 441, 495, 629, 567, 279, 628, 344, 348, 280, 365, 627, 345, 364, 316]</t>
  </si>
  <si>
    <t>- Target 607: reachable ✓  distance=2688.71 | path: [623, 667, 568, 275, 630, 564, 669, 666, 626, 195, 263, 226, 487, 250, 75, 74, 73, 72, 134, 265, 467, 473, 465, 606, 607]</t>
  </si>
  <si>
    <t>- Target 476: reachable ✓  distance=2692.02 | path: [623, 667, 568, 275, 630, 564, 669, 666, 626, 195, 263, 226, 487, 250, 75, 74, 73, 72, 134, 265, 467, 473, 613, 475, 476]</t>
  </si>
  <si>
    <t xml:space="preserve">- Target 87: reachable ✓  distance=2880.34 | path: [623, 667, 568, 275, 630, 564, 669, 666, 626, 195, 247, 144, 233, 488, 486, 132, 202, 229, 124, 215, 460, 187, 127, 182, 260, 676, 87]    </t>
  </si>
  <si>
    <t>- Target 77: reachable ✓  distance=3115.88 | path: [623, 667, 568, 275, 630, 564, 669, 666, 626, 195, 263, 226, 487, 250, 75, 74, 73, 72, 70, 69, 68, 471, 437, 85, 57, 385, 383, 382, 571, 386, 381, 77]</t>
  </si>
  <si>
    <t>- Target 202: reachable ✓  distance=2071.07 | path: [623, 667, 568, 275, 630, 564, 669, 666, 626, 195, 247, 144, 233, 488, 486, 132, 202]</t>
  </si>
  <si>
    <t>[RISK] r=0.876 | closed≈0 | open_ratio=100.0%</t>
  </si>
  <si>
    <t>[TEST] veh=0 terminal reason=empty_home, loc=623, steps_since_delivery=29</t>
  </si>
  <si>
    <t>[TEST] veh=1 terminal reason=empty_home, loc=623, steps_since_delivery=17</t>
  </si>
  <si>
    <t>[TEST] veh=2 terminal reason=solved, loc=623, steps_since_delivery=24</t>
  </si>
  <si>
    <t>=== SCENARIO RESULT ===</t>
  </si>
  <si>
    <t>Total shaped reward: -93.692 | deliveries=6 | backtracks=2</t>
  </si>
  <si>
    <t>All vehicles at depot?  True</t>
  </si>
  <si>
    <t xml:space="preserve">  veh 0: end_loc=623, cap_left=0, delivered=2, distance=8710.60</t>
  </si>
  <si>
    <t xml:space="preserve">  route: [623, 667, 568, 549, 728, 672, 92, 683, 681, 91, 17, 18, 23, 719, 22, 21, 25, 217, 160, 228, 553, 176, 222, 194, 31, 32, 159, 167, 87, 676, 260, 199, 129, 438, 198, 122, 85, 57, 385, 383, 382, 571, 386, 381, 77, 78, 816, 815, 391, 609, 608, 480, 615, 614, 63, 578, 577, 576, 123, 120, 162, 155, 237, 256, 211, 168, 666, 669, 564, 630, 275, 568, 667, 623]</t>
  </si>
  <si>
    <t xml:space="preserve">  veh 1: end_loc=623, cap_left=0, delivered=2, distance=9181.70</t>
  </si>
  <si>
    <t xml:space="preserve">  route: [623, 667, 568, 549, 728, 672, 92, 683, 681, 91, 17, 12, 11, 557, 632, 555, 3, 704, 479, 561, 2, 503, 349, 653, 364, 316, 364, 345, 346, 366, 631, 373, 501, 334, 500, 498, 319, 305, 669, 666, 626, 195, 263, 144, 233, 488, 486, 132, 202, 229, 74, 75, 250, 487, 226, 263, 195, 626, 666, 669, 564, 630, 275, 568, 667, 623]</t>
  </si>
  <si>
    <t xml:space="preserve">  veh 2: end_loc=623, cap_left=0, delivered=2, distance=8850.41</t>
  </si>
  <si>
    <t xml:space="preserve">  route: [623, 667, 568, 549, 728, 672, 92, 683, 681, 91, 17, 18, 639, 640, 641, 635, 642, 157, 737, 643, 197, 200, 204, 551, 258, 259, 184, 119, 142, 474, 131, 150, 127, 172, 472, 126, 84, 437, 470, 83, 483, 464, 606, 607, 604, 60, 763, 79, 67, 764, 605, 66, 64, 65, 463, 480, 615, 614, 63, 578, 62, 475, 476, 475, 613, 473, 467, 265, 134, 72, 73, 74, 75, 250, 487, 226, 263, 195, 626, 666, 669, 564, 630, 275, 568, 667, 623]</t>
  </si>
  <si>
    <t>[RISK] critical degrees after protection: {623: 3, 77: 3, 87: 3, 202: 3, 316: 1, 476: 1, 607: 3}</t>
  </si>
  <si>
    <t>[SCENARIO 1] Depot=623</t>
  </si>
  <si>
    <t>[SCENARIO 1] demands=[77, 87, 202, 316, 476, 607] | total=6 | capacities=[2, 2, 2]</t>
  </si>
  <si>
    <t>[SCENARIO 0] demands=[76, 131, 316, 464, 807] | total=5 | capacities=[2, 2, 1]</t>
  </si>
  <si>
    <t>[RISK@try0] r=0.4452 | closed_before=224 | closed_after=224 | open_ratio=81.0%</t>
  </si>
  <si>
    <t>[RISK@try1] r=0.4338 | closed_before=268 | closed_after=268 | open_ratio=77.3%</t>
  </si>
  <si>
    <t>[RISK@try2] r=0.4513 | closed_before=201 | closed_after=201 | open_ratio=83.0%</t>
  </si>
  <si>
    <t>[RISK@try3] r=0.4321 | closed_before=276 | closed_after=276 | open_ratio=76.6%</t>
  </si>
  <si>
    <t>[RISK@try4] r=0.4580 | closed_before=174 | closed_after=174 | open_ratio=85.3%</t>
  </si>
  <si>
    <t>[Graph change] nonzero edges changed: 348. Recompute SP ...</t>
  </si>
  <si>
    <t>- Target 464: reachable ✓  distance=2220.20 | path: [7, 339, 649, 6, 5, 4, 362, 376, 3, 704, 699, 733, 13, 558, 559, 19, 35, 158, 36, 152, 37, 206, 189, 177, 254, 205, 150, 127, 172, 472, 126, 84, 437, 471, 68, 484, 483, 464]</t>
  </si>
  <si>
    <t>- Target 316: reachable ✓  distance=1095.78 | path: [7, 339, 649, 6, 5, 4, 362, 376, 3, 478, 350, 368, 374, 326, 343, 313, 503, 349, 653, 364, 316]</t>
  </si>
  <si>
    <t>- Target 76: reachable ✓  distance=2220.37 | path: [7, 339, 649, 6, 5, 4, 362, 376, 3, 704, 699, 733, 13, 558, 559, 19, 35, 158, 36, 152, 37, 206, 189, 177, 254, 205, 225, 187, 460, 215, 124, 72, 134, 235, 76]</t>
  </si>
  <si>
    <t>- Target 807: reachable ✓  distance=949.73 | path: [7, 8, 292, 266, 600, 270, 268, 50, 285, 533, 569, 301, 530, 585, 673, 674, 810, 808, 807]</t>
  </si>
  <si>
    <t>- Target 131: reachable ✓  distance=1618.15 | path: [7, 339, 649, 6, 5, 4, 362, 376, 3, 704, 699, 733, 13, 558, 559, 19, 35, 158, 36, 152, 37, 206, 189, 177, 254, 131]</t>
  </si>
  <si>
    <t>2025-10-16 11:40:56.379284: I tensorflow/stream_executor/cuda/cuda_blas.cc:1786] TensorFloat-32 will be used for the matrix multiplication. This will only be logged once.</t>
  </si>
  <si>
    <t>[TEST] veh=0 terminal reason=empty_home, loc=7, steps_since_delivery=20</t>
  </si>
  <si>
    <t>[TEST] veh=1 terminal reason=empty_home, loc=7, steps_since_delivery=38</t>
  </si>
  <si>
    <t>[TEST] veh=2 terminal reason=solved, loc=7, steps_since_delivery=38</t>
  </si>
  <si>
    <t>Total shaped reward: -67.908 | deliveries=5 | backtracks=6</t>
  </si>
  <si>
    <t xml:space="preserve">  veh 0: end_loc=7, cap_left=0, delivered=2, distance=6165.98</t>
  </si>
  <si>
    <t xml:space="preserve">  route: [7, 339, 648, 42, 651, 436, 43, 46, 512, 45, 8, 292, 9, 539, 601, 598, 278, 304, 51, 50, 285, 533, 569, 301, 530, 585, 673, 674, 810, 808, 807, 808, 809, 808, 810, 308, 89, 518, 90, 518, 736, 516, 735, 734, 633, 54, 637, 43, 436, 650, 651, 648, 339, 649, 6, 5, 4, 362, 376, 3, 478, 350, 368, 374, 326, 343, 313, 503, 349, 653, 364, 316, 364, 653, 349, 503, 313, 343, 326, 374, 368, 350, 478, 3, 376, 362, 4, 5, 6, 649, 339, 7]   </t>
  </si>
  <si>
    <t xml:space="preserve">  veh 1: end_loc=7, cap_left=0, delivered=2, distance=6349.73</t>
  </si>
  <si>
    <t xml:space="preserve">  route: [7, 339, 648, 42, 651, 436, 43, 46, 512, 45, 8, 292, 266, 600, 270, 268, 50, 285, 49, 517, 48, 44, 638, 321, 53, 302, 636, 14, 15, 157, 737, 643, 197, 141, 207, 175, 178, 183, 143, 142, 474, 131, 726, 727, 726, 131, 254, 205, 150, 127, 172, 472, 126, 84, 437, 471, 68, 484, 483, 464, 60, 763, 79, 83, 470, 437, 84, 126, 472, 172, 127, 150, 205, 254, 177, 189, 206, 37, 152, 36, 158, 35, 19, 559, 558, 13, 733, 699, 704, 3, 376, 362, 4, 5, 6, 649, 339, 7]</t>
  </si>
  <si>
    <t xml:space="preserve">  veh 2: end_loc=7, cap_left=0, delivered=1, distance=5631.26</t>
  </si>
  <si>
    <t xml:space="preserve">  route: [7, 339, 648, 42, 651, 436, 43, 46, 512, 45, 8, 292, 266, 600, 270, 268, 50, 285, 49, 517, 48, 44, 638, 321, 53, 302, 636, 14, 15, 157, 737, 643, 197, 141, 207, 175, 178, 183, 189, 177, 254, 205, 225, 187, 460, 215, 124, 72, 134, 235, 76, 174, 181, 174, 76, 235, 134, 72, 124, 215, 460, 187, 225, 205, 254, 177, 189, 206, 37, 152, 36, 158, 35, 19, 559, 558, 13, 733, 699, 704, 3, 376, 362, 4, 5, 6, 649, 339, 7]</t>
  </si>
  <si>
    <t>[RISK] critical degrees after protection: {7: 2, 76: 2, 131: 3, 316: 1, 464: 3, 807: 1}</t>
  </si>
  <si>
    <t>[SCENARIO 2] Depot=7</t>
  </si>
  <si>
    <t>[76, 131, 316, 464, 807]</t>
  </si>
  <si>
    <t>[SCENARIO 0] demands=[304, 464, 646, 700, 716, 748] | total=6 | capacities=[2, 2, 2]</t>
  </si>
  <si>
    <t>[RISK@try0] r=0.4452 | closed_before=225 | closed_after=219 | open_ratio=81.4%</t>
  </si>
  <si>
    <t>[RISK@try1] r=0.4257 | closed_before=301 | closed_after=286 | open_ratio=75.8%</t>
  </si>
  <si>
    <t>[RISK@try2] r=0.4454 | closed_before=224 | closed_after=218 | open_ratio=81.5%</t>
  </si>
  <si>
    <t>[RISK@try3] r=0.4321 | closed_before=277 | closed_after=269 | open_ratio=77.2%</t>
  </si>
  <si>
    <t>[RISK@try4] r=0.4552 | closed_before=185 | closed_after=180 | open_ratio=84.7%</t>
  </si>
  <si>
    <t>[RISK@try5] r=0.4293 | closed_before=284 | closed_after=275 | open_ratio=76.7%</t>
  </si>
  <si>
    <t>[RISK@try6] r=0.4485 | closed_before=214 | closed_after=208 | open_ratio=82.4%</t>
  </si>
  <si>
    <t>[RISK@try7] r=0.4524 | closed_before=197 | closed_after=191 | open_ratio=83.8%</t>
  </si>
  <si>
    <t>[RISK] Targeted closure not met in 8 tries → fallback to base/random strategy.</t>
  </si>
  <si>
    <t>[RISK@fallback0] r=0.4331 | closed_before=272 | closed_after=265 | open_ratio=77.5%</t>
  </si>
  <si>
    <t>[RISK@fallback1] r=0.9102 | closed_before=0 | closed_after=0 | open_ratio=100.0%</t>
  </si>
  <si>
    <t>- Target 464: reachable ✓  distance=1885.63 | path: [653, 349, 503, 2, 561, 730, 729, 34, 732, 212, 216, 240, 164, 37, 206, 189, 177, 254, 205, 150, 127, 172, 472, 126, 84, 437, 470, 83, 483, 464]</t>
  </si>
  <si>
    <t>- Target 748: reachable ✓  distance=3744.42 | path: [653, 364, 345, 627, 365, 280, 348, 344, 628, 279, 562, 499, 305, 669, 666, 168, 137, 209, 377, 130, 521, 522, 115, 756, 114, 433, 113, 755, 477, 108, 100, 107, 99, 103, 98, 748]</t>
  </si>
  <si>
    <t>- Target 646: reachable ✓  distance=1466.64 | path: [653, 349, 503, 2, 561, 479, 704, 3, 555, 10, 55, 54, 633, 734, 735, 516, 736, 518, 89, 646]</t>
  </si>
  <si>
    <t>- Target 700: reachable ✓  distance=666.48 | path: [653, 349, 503, 2, 561, 730, 731, 575, 700]</t>
  </si>
  <si>
    <t>- Target 716: reachable ✓  distance=1603.71 | path: [653, 349, 503, 2, 561, 730, 682, 681, 91, 17, 18, 23, 29, 27, 147, 710, 712, 713, 715, 716]</t>
  </si>
  <si>
    <t>- Target 304: reachable ✓  distance=1196.24 | path: [653, 349, 503, 2, 561, 479, 704, 3, 376, 362, 4, 5, 6, 649, 339, 7, 8, 292, 266, 600, 270, 278, 304]</t>
  </si>
  <si>
    <t>2025-10-16 12:15:52.185837: I tensorflow/stream_executor/cuda/cuda_blas.cc:1786] TensorFloat-32 will be used for the matrix multiplication. This will only be logged once.</t>
  </si>
  <si>
    <t>[TEST] veh=0 terminal reason=empty_home, loc=653, steps_since_delivery=8</t>
  </si>
  <si>
    <t>[TEST] veh=1 terminal reason=empty_home, loc=653, steps_since_delivery=19</t>
  </si>
  <si>
    <t>[TEST] veh=2 terminal reason=solved, loc=653, steps_since_delivery=38</t>
  </si>
  <si>
    <t>Total shaped reward: -91.730 | deliveries=6 | backtracks=2</t>
  </si>
  <si>
    <t xml:space="preserve">  veh 0: end_loc=653, cap_left=0, delivered=2, distance=5905.46</t>
  </si>
  <si>
    <t xml:space="preserve">  route: [653, 349, 346, 366, 631, 373, 500, 498, 319, 93, 275, 630, 564, 669, 666, 626, 195, 247, 144, 263, 226, 487, 250, 75, 74, 73, 72, 70, 165, 71, 484, 483, 464, 606, 607, 604, 605, 764, 67, 65, 64, 66, 62, 61, 466, 465, 473, 467, 71, 165, 70, 69, 215, 460, 187, 225, 205, 254, 177, 189, 206, 37, 164, 38, 39, 40, 249, 41, 33, 575, 700, 575, 731, 730, 561, 2, 503, 349, 653]</t>
  </si>
  <si>
    <t xml:space="preserve">  veh 1: end_loc=653, cap_left=0, delivered=2, distance=6620.79</t>
  </si>
  <si>
    <t xml:space="preserve">  route: [653, 349, 346, 366, 631, 373, 500, 498, 319, 93, 275, 630, 564, 669, 305, 499, 566, 562, 279, 628, 344, 348, 280, 365, 627, 345, 364, 653, 349, 503, 2, 561, 479, 704, 3, 376, 362, 4, 5, 6, 649, 339, 7, 8, 292, 266, 600, 270, 278, 304, 51, 50, 285, 49, 517, 48, 44, 638, 321, 53, 637, 43, 46, 47, 314, 270, 268, 299, 297, 517, 49, 647, 532, 569, 301, 530, 585, 673, 674, 810, 308, 646, 89, 518, 736, 516, 735, 734, 633, 54, 55, 10, 555, 3, 704, 479, 561, 2, 503, 349, 653]</t>
  </si>
  <si>
    <t xml:space="preserve">  veh 2: end_loc=653, cap_left=0, delivered=2, distance=12105.37</t>
  </si>
  <si>
    <t xml:space="preserve">  route: [653, 349, 346, 366, 631, 373, 500, 498, 319, 305, 669, 666, 626, 672, 92, 203, 236, 243, 216, 240, 164, 38, 36, 158, 141, 197, 643, 224, 244, 218, 238, 228, 160, 28, 213, 710, 712, 713, 715, 716, 715, 714, 712, 710, 147, 27, 29, 23, 18, 17, 91, 681, 683, 92, 672, 728, 549, 1, 130, 521, 522, 115, 756, 114, 433, 113, 755, 477, 108, 100, 107, 99, 103, 98, 748, 96, 747, 748, 98, 103, 99, 107, 100, 108, 477, 755, 113, 433, 114, 756, 115, 522, 521, 130, 377, 209, 137, 168, 666, 669, 305, 499, 562, 279, 628, 344, 348, 280, 365, 627, 345, 364, 653]</t>
  </si>
  <si>
    <t>[RISK] critical degrees after protection: {653: 3, 304: 3, 464: 3, 646: 3, 700: 1, 716: 1, 748: 3}</t>
  </si>
  <si>
    <t>[SCENARIO 3] Depot=653</t>
  </si>
  <si>
    <t>[SCENARIO 2] demands=[464, 748] | total=2 | capacities=[1, 1, 0]</t>
  </si>
  <si>
    <t>[RISK@try1] r=0.4300 | closed_before=284 | closed_after=276 | open_ratio=76.6%</t>
  </si>
  <si>
    <t>[RISK@try2] r=0.4218 | closed_before=319 | closed_after=311 | open_ratio=73.6%</t>
  </si>
  <si>
    <t>[RISK@try3] r=0.4582 | closed_before=172 | closed_after=168 | open_ratio=85.8%</t>
  </si>
  <si>
    <t>[Graph change] nonzero edges changed: 336. Recompute SP ...</t>
  </si>
  <si>
    <t>- Target 748: reachable ✓  distance=2561.11 | path: [223, 149, 162, 155, 170, 137, 209, 377, 130, 521, 522, 115, 756, 114, 433, 113, 755, 477, 108, 100, 107, 99, 103, 98, 748]</t>
  </si>
  <si>
    <t>- Target 464: reachable ✓  distance=1247.50 | path: [223, 154, 117, 120, 123, 576, 577, 578, 62, 61, 466, 465, 606, 464]</t>
  </si>
  <si>
    <t>[TEST] veh=0 terminal reason=empty_home, loc=223, steps_since_delivery=27</t>
  </si>
  <si>
    <t>[TEST] veh=1 terminal reason=solved, loc=223, steps_since_delivery=13</t>
  </si>
  <si>
    <t>[TEST] veh=2 early terminal: empty_home(idle)</t>
  </si>
  <si>
    <t>Total shaped reward: -22.930 | deliveries=2 | backtracks=0</t>
  </si>
  <si>
    <t xml:space="preserve">  veh 0: end_loc=223, cap_left=0, delivered=1, distance=5931.33</t>
  </si>
  <si>
    <t xml:space="preserve">  route: [223, 196, 211, 168, 666, 669, 564, 563, 565, 630, 275, 568, 549, 1, 130, 521, 522, 115, 756, 502, 112, 755, 477, 108, 100, 107, 99, 103, 98, 748, 96, 747, 748, 98, 103, 99, 107, 100, 108, 477, 755, 113, 433, 114, 756, 115, 522, 521, 130, 377, 209, 137, 170, 155, 162, 149, 223]</t>
  </si>
  <si>
    <t xml:space="preserve">  veh 1: end_loc=223, cap_left=0, delivered=1, distance=4261.36</t>
  </si>
  <si>
    <t xml:space="preserve">  route: [223, 196, 211, 168, 666, 669, 564, 563, 565, 630, 275, 568, 549, 1, 130, 377, 462, 461, 380, 140, 576, 577, 578, 62, 61, 466, 465, 606, 464, 60, 604, 607, 61, 62, 578, 577, 576, 123, 120, 117, 154, 223]</t>
  </si>
  <si>
    <t xml:space="preserve">  veh 2: end_loc=223, cap_left=0, delivered=0, distance=0.00</t>
  </si>
  <si>
    <t xml:space="preserve">  route: [223]</t>
  </si>
  <si>
    <t>[RISK] critical degrees after protection: {223: 3, 464: 3, 748: 3}</t>
  </si>
  <si>
    <t>[464, 748]</t>
  </si>
  <si>
    <t>[SCENARIO 0] demands=[464, 573, 607, 699] | total=4 | capacities=[2, 1, 1]</t>
  </si>
  <si>
    <t>[RISK@try0] r=0.4452 | closed_before=225 | closed_after=213 | open_ratio=81.9%</t>
  </si>
  <si>
    <t>[RISK@try1] r=0.4504 | closed_before=206 | closed_after=194 | open_ratio=83.6%</t>
  </si>
  <si>
    <t>[RISK@try2] r=0.4369 | closed_before=252 | closed_after=239 | open_ratio=79.7%</t>
  </si>
  <si>
    <t>[RISK@try3] r=0.4604 | closed_before=165 | closed_after=158 | open_ratio=86.6%</t>
  </si>
  <si>
    <t>[Graph change] nonzero edges changed: 316. Recompute SP ...</t>
  </si>
  <si>
    <t>- Target 607: reachable ✓  distance=542.90 | path: [77, 78, 816, 815, 610, 463, 65, 67, 79, 763, 60, 604, 607]</t>
  </si>
  <si>
    <t>- Target 464: reachable ✓  distance=674.85 | path: [77, 78, 816, 815, 610, 463, 65, 67, 79, 763, 60, 464]</t>
  </si>
  <si>
    <t>- Target 699: reachable ✓  distance=2184.52 | path: [77, 381, 386, 571, 382, 383, 385, 57, 85, 437, 84, 126, 472, 172, 127, 150, 205, 254, 177, 189, 206, 37, 152, 36, 158, 35, 19, 559, 558, 13, 733, 699]</t>
  </si>
  <si>
    <t>- Target 573: reachable ✓  distance=2916.18 | path: [77, 381, 386, 571, 382, 383, 385, 57, 85, 122, 198, 438, 129, 199, 260, 676, 675, 167, 159, 32, 31, 194, 222, 176, 553, 228, 160, 28, 213, 685, 504, 30, 695, 573]</t>
  </si>
  <si>
    <t>2025-10-16 15:11:12.067871: I tensorflow/stream_executor/cuda/cuda_blas.cc:1786] TensorFloat-32 will be used for the matrix multiplication. This will only be logged once.</t>
  </si>
  <si>
    <t>[TEST] veh=0 terminal reason=empty_home, loc=77, steps_since_delivery=13</t>
  </si>
  <si>
    <t>[TEST] veh=1 terminal reason=empty_home, loc=77, steps_since_delivery=44</t>
  </si>
  <si>
    <t>[TEST] veh=2 terminal reason=solved, loc=77, steps_since_delivery=34</t>
  </si>
  <si>
    <t>Total shaped reward: -53.883 | deliveries=4 | backtracks=0</t>
  </si>
  <si>
    <t xml:space="preserve">  veh 0: end_loc=77, cap_left=0, delivered=2, distance=3637.78</t>
  </si>
  <si>
    <t xml:space="preserve">  route: [77, 381, 386, 571, 382, 383, 385, 58, 56, 57, 85, 437, 471, 68, 484, 483, 464, 60, 763, 79, 83, 470, 437, 84, 239, 198, 122, 85, 57, 385, 383, 382, 571, 386, 381, 77, 78, 816, 815, 610, 463, 65, 67, 79, 763, 60, 604, 607, 606, 464, 60, 763, 79, 67, 65, 463, 610, 815, 816, 78, 77]</t>
  </si>
  <si>
    <t xml:space="preserve">  veh 1: end_loc=77, cap_left=0, delivered=1, distance=5091.35</t>
  </si>
  <si>
    <t xml:space="preserve">  route: [77, 381, 386, 571, 382, 383, 385, 58, 56, 57, 85, 122, 198, 239, 126, 472, 460, 187, 225, 205, 254, 177, 189, 206, 37, 152, 36, 158, 35, 19, 559, 558, 13, 733, 699, 704, 3, 376, 362, 4, 556, 5, 4, 362, 376, 3, 704, 699, 733, 13, 558, 559, 19, 35, 158, 36, 152, 37, 206, 189, 177, 254, 205, 150, 127, 172, 472, 126, 84, 437, 85, 57, 385, 383, 382, 571, 386, 381, 77]</t>
  </si>
  <si>
    <t xml:space="preserve">  veh 2: end_loc=77, cap_left=0, delivered=1, distance=6185.26</t>
  </si>
  <si>
    <t xml:space="preserve">  route: [77, 381, 386, 571, 382, 383, 385, 58, 56, 57, 85, 122, 198, 438, 129, 199, 260, 676, 675, 167, 159, 32, 31, 194, 222, 176, 553, 228, 160, 28, 213, 685, 504, 30, 695, 573, 572, 695, 30, 504, 685, 213, 28, 160, 228, 553, 176, 222, 194, 31, 32, 159, 167, 675, 676, 260, 199, 129, 438, 198, 122, 85, 57, 385, 383, 382, 571, 386, 381, 77]</t>
  </si>
  <si>
    <t>[RISK] critical degrees after protection: {77: 3, 464: 3, 573: 3, 607: 3, 699: 3}</t>
  </si>
  <si>
    <t>[2, 1, 1]</t>
  </si>
  <si>
    <t xml:space="preserve">[464, 573, 607, 699] </t>
  </si>
  <si>
    <t>[304, 464, 646, 700, 716, 748]</t>
  </si>
  <si>
    <t>[166, 204, 212, 217, 437, 464, 748, 785]</t>
  </si>
  <si>
    <t>Unreachble node</t>
  </si>
  <si>
    <t>[RISK@try0] r=0.4452 | closed_before=225 | closed_after=221 | open_ratio=81.3%</t>
  </si>
  <si>
    <t>[RISK@try1] r=0.4249 | closed_before=305 | closed_after=299 | open_ratio=74.7%</t>
  </si>
  <si>
    <t>[RISK@try2] r=0.4485 | closed_before=214 | closed_after=210 | open_ratio=82.2%</t>
  </si>
  <si>
    <t>[RISK@try3] r=0.4284 | closed_before=290 | closed_after=284 | open_ratio=75.9%</t>
  </si>
  <si>
    <t>[RISK@try4] r=0.4474 | closed_before=220 | closed_after=216 | open_ratio=81.7%</t>
  </si>
  <si>
    <t>[RISK@try5] r=0.4693 | closed_before=123 | closed_after=123 | open_ratio=89.6%</t>
  </si>
  <si>
    <t>[Graph change] nonzero edges changed: 246. Recompute SP ...</t>
  </si>
  <si>
    <t xml:space="preserve">- Target 748: reachable ✓  distance=2943.77 | path: [604, 607, 61, 62, 578, 577, 576, 140, 380, 461, 462, 377, 130, 521, 522, 115, 756, 502, 112, 755, 477, 754, 108, 100, 107, 99, 103, 98, 748]      </t>
  </si>
  <si>
    <t>- Target 464: reachable ✓  distance=207.46 | path: [604, 607, 606, 464]</t>
  </si>
  <si>
    <t>- Target 212: reachable ✓  distance=1607.53 | path: [604, 607, 606, 464, 483, 83, 470, 437, 84, 126, 472, 172, 127, 150, 205, 254, 177, 189, 206, 37, 164, 240, 216, 212]</t>
  </si>
  <si>
    <t>- Target 437: reachable ✓  distance=404.03 | path: [604, 607, 606, 464, 483, 83, 470, 437]</t>
  </si>
  <si>
    <t>- Target 217: reachable ✓  distance=1924.50 | path: [604, 607, 606, 464, 483, 83, 470, 437, 84, 126, 472, 172, 127, 150, 205, 254, 177, 143, 183, 178, 175, 207, 141, 197, 643, 224, 244, 218, 238, 217]</t>
  </si>
  <si>
    <t>- Target 166: reachable ✓  distance=1289.61 | path: [604, 607, 606, 464, 483, 83, 470, 437, 84, 126, 472, 460, 215, 124, 229, 202, 132, 485, 166]</t>
  </si>
  <si>
    <t>- Target 204: reachable ✓  distance=1436.50 | path: [604, 607, 606, 464, 483, 83, 470, 437, 84, 126, 472, 172, 127, 150, 205, 254, 177, 143, 183, 178, 175, 204]</t>
  </si>
  <si>
    <t>- Target 785: UNREACHABLE ✗ | out_deg=3 in_deg=3</t>
  </si>
  <si>
    <t>Unreachable targets: [785]</t>
  </si>
  <si>
    <t>[WARN] Unreachable after risk+reopen: [785]</t>
  </si>
  <si>
    <t>[TEST] veh=0 terminal reason=empty_home, loc=604, steps_since_delivery=27</t>
  </si>
  <si>
    <t>[TEST] veh=1 terminal reason=empty_home, loc=604, steps_since_delivery=29</t>
  </si>
  <si>
    <t>[TEST] veh=2 terminal reason=stall_vehicle, loc=466, steps_since_delivery=400</t>
  </si>
  <si>
    <t>Total shaped reward: -204.404 | deliveries=7 | backtracks=18</t>
  </si>
  <si>
    <t>All vehicles at depot?  False</t>
  </si>
  <si>
    <t xml:space="preserve">  veh 0: end_loc=604, cap_left=0, delivered=3, distance=4561.94</t>
  </si>
  <si>
    <t xml:space="preserve">  route: [604, 607, 606, 464, 483, 83, 470, 437, 85, 57, 385, 383, 382, 384, 382, 571, 59, 571, 382, 383, 385, 58, 56, 57, 85, 122, 198, 239, 126, 472, 460, 215, 124, 229, 202, 132, 485, 166, 208, 203, 236, 243, 216, 240, 164, 37, 206, 189, 177, 254, 205, 150, 127, 172, 472, 126, 84, 437, 470, 83, 483, 464, 606, 607, 604]</t>
  </si>
  <si>
    <t xml:space="preserve">  veh 1: end_loc=604, cap_left=0, delivered=3, distance=7657.67</t>
  </si>
  <si>
    <t xml:space="preserve">  route: [604, 607, 606, 464, 483, 83, 470, 437, 85, 57, 385, 383, 382, 571, 59, 571, 382, 384, 382, 383, 385, 57, 85, 437, 84, 126, 472, 172, 127, 150, 205, 254, 177, 143, 183, 178, 175, 204, 200, 207, 141, 197, 643, 737, 157, 19, 35, 158, 36, 38, 164, 240, 216, 212, 732, 34, 729, 682, 681, 91, 17, 18, 23, 29, 27, 147, 148, 231, 802, 190, 145, 504, 685, 213, 28, 160, 217, 238, 218, 244, 224, 643, 197, 141, 207, 175, 178, 183, 143, 177, 254, 205, 150, 127, 172, 472, 126, 84, 437, 470, 83, 483, 464, 606, 607, 604]</t>
  </si>
  <si>
    <t xml:space="preserve">  veh 2: end_loc=466, cap_left=1, delivered=1, distance=41048.92</t>
  </si>
  <si>
    <t xml:space="preserve">  route: [604, 607, 606, 464, 483, 83, 470, 437, 85, 57, 385, 383, 382, 571, 59, 571, 382, 384, 382, 383, 385, 57, 85, 437, 470, 83, 483, 464, 606, 465, 466, 61, 62, 578, 577, 576, 140, 380, 461, 462, 377, 130, 521, 522, 115, 756, 502, 112, 755, 477, 754, 108, 100, 107, 99, 103, 98, 748, 747, 96, 97, 725, 95, 86, 611, 750, 749, 429, 418, 86, 95, 96, 748, 98, 103, 99, 107, 100, 108, 754, 477, 755, 112, 502, 756, 115, 522, 521, 130, 377, 462, 461, 380, 140, 576, 577, 578, 62, 61, 607, 604, 60, 763, 79, 83, 483, 464, 606, 465, 466, 61, 607, 604, 605, 764, 67, 65, 64, 66, 62, 475, 476, 475, 62, 578, 63, 614, 577, 576, 140, 380, 461, 489, 379, 489, 462, 377, 130, 1, 549, 728, 672, 626, 666, 168, 211, 196, 223, 154, 117, 120, 123, 576, 577, 578, 62, 61, 607, 604, 60, 763, 79, 83, 483, 464, 606, 465, 466, 61, 607, 604, 605, 764, 67, 65, 64, 66, 62, 475, 476, 475, 62, 578, 63, 614, 577, 576, 140, 380, 461, 489, 379, 489, 462, 377, 130, 1, 549, 728, 672, 626, 666, 168, 211, 196, 223, 154, 117, 120, 123, 576, 577, 578, 62, 61, 607, 604, 60, 763, 79, 83, 483, 464, 606, 465, 466, 61, 607, 604, 605, 764, 67, 65, 64, 66, 62, 475, 476, 475, 62, 578, 63, 614, 577, 576, 140, 380, 461, 489, 379, 489, 462, 377, 130, 1, 549, 728, 672, 626, 666, 168, 211, 196, 223, 154, 117, 120, 123, 576, 577, 578, 62, 61, 607, 604, 60, 763, 79, 83, 483, 464, 606, 465, 466, 61, 607, 604, 605, 764, 67, 65, 64, 66, 62, 475, 476, 475, 62, 578, 63, 614, 577, 576, 140, 380, 461, 489, 379, 489, 462, 377, 130, 1, 549, 728, 672, 626, 666, 168, 211, 196, 223, 154, 117, 120, 123, 576, 577, 578, 62, 61, 607, 604, 60, 763, 79, 83, 483, 464, 606, 465, 466, 61, 607, 604, 605, 764, 67, 65, 64, 66, 62, 475, 476, 475, 62, 578, 63, 614, 577, 576, 140, 380, 461, 489, 379, 489, 462, 377, 130, 1, 549, 728, 672, 626, 666, 168, 211, 196, 223, 154, 117, 120, 123, 576, 577, 578, 62, 61, 607, 604, 60, 763, 79, 83, 483, 464, 606, 465, 466, 61, 607, 604, 605, 764, 67, 65, 64, 66, 62, 475, 476, 475, 62, 578, 63, 614, 577, 576, 140, 380, 461, 489, 379, 489, 462, 377, 130, 1, 549, 728, 672, 626, 666, 168, 211, 196, 223, 154, 117, 120, 123, 576, 577, 578, 62, 61, 607, 604, 60, 763, 79, 83, 483, 464, 606, 465, 466] </t>
  </si>
  <si>
    <t>[SCENARIO 7] demands=[166, 204, 212, 217, 437, 464, 748, 785] | total=8 | capacities=[3, 3, 2]</t>
  </si>
  <si>
    <t>[3, 3, 2]</t>
  </si>
  <si>
    <t>[SCENARIO 4] Depot=223</t>
  </si>
  <si>
    <t>[SCENARIO 5] Depot=77</t>
  </si>
  <si>
    <t>[SCENARIO 6] Depot=604</t>
  </si>
  <si>
    <t>[SCENARIO 2] demands=[278, 316, 464] | total=3 | capacities=[1, 1, 1]</t>
  </si>
  <si>
    <t>[RISK@try1] r=0.4649 | closed_before=149 | closed_after=149 | open_ratio=87.4%</t>
  </si>
  <si>
    <t>[Graph change] nonzero edges changed: 298. Recompute SP ...</t>
  </si>
  <si>
    <t>- Target 316: reachable ✓  distance=2050.24 | path: [295, 311, 293, 544, 543, 542, 514, 286, 588, 287, 309, 273, 599, 539, 9, 323, 329, 271, 335, 277, 743, 298, 744, 324, 357, 326, 343, 313, 503, 349, 653, 364, 316]</t>
  </si>
  <si>
    <t>- Target 464: reachable ✓  distance=2801.90 | path: [295, 311, 293, 544, 543, 542, 513, 52, 51, 50, 285, 49, 517, 48, 44, 638, 321, 53, 302, 636, 14, 15, 157, 737, 643, 197, 141, 207, 175, 178, 183, 189, 177, 254, 205, 150, 127, 172, 472, 126, 84, 437, 470, 83, 483, 464]</t>
  </si>
  <si>
    <t>- Target 278: reachable ✓  distance=585.38 | path: [295, 311, 293, 544, 543, 542, 513, 52, 51, 304, 278]</t>
  </si>
  <si>
    <t>[TEST] veh=0 terminal reason=empty_home, loc=295, steps_since_delivery=16</t>
  </si>
  <si>
    <t>[TEST] veh=1 terminal reason=empty_home, loc=295, steps_since_delivery=32</t>
  </si>
  <si>
    <t>[TEST] veh=2 terminal reason=solved, loc=295, steps_since_delivery=53</t>
  </si>
  <si>
    <t>Total shaped reward: -32.081 | deliveries=3 | backtracks=2</t>
  </si>
  <si>
    <t xml:space="preserve">  veh 0: end_loc=295, cap_left=0, delivered=1, distance=1649.78</t>
  </si>
  <si>
    <t xml:space="preserve">  route: [295, 283, 293, 544, 284, 545, 543, 542, 513, 291, 533, 285, 50, 51, 304, 278, 598, 601, 539, 599, 273, 309, 287, 588, 286, 514, 542, 543, 544, 293, 311, 295]</t>
  </si>
  <si>
    <t xml:space="preserve">  veh 1: end_loc=295, cap_left=0, delivered=1, distance=4342.98</t>
  </si>
  <si>
    <t xml:space="preserve">  route: [295, 283, 293, 544, 284, 545, 543, 542, 513, 291, 533, 285, 49, 517, 48, 47, 46, 43, 436, 650, 651, 648, 339, 649, 6, 5, 4, 362, 376, 3, 478, 350, 368, 374, 326, 343, 313, 503, 349, 653, 364, 316, 364, 653, 349, 503, 313, 343, 326, 357, 324, 744, 298, 743, 277, 335, 271, 329, 323, 9, 539, 599, 273, 309, 287, 588, 286, 514, 542, 543, 544, 293, 311, 295]</t>
  </si>
  <si>
    <t xml:space="preserve">  veh 2: end_loc=295, cap_left=0, delivered=1, distance=6277.23</t>
  </si>
  <si>
    <t xml:space="preserve">  route: [295, 283, 293, 544, 284, 545, 543, 542, 513, 291, 533, 285, 49, 517, 48, 44, 638, 321, 53, 302, 636, 14, 15, 157, 737, 643, 197, 141, 207, 175, 178, 183, 189, 177, 254, 205, 150, 127, 172, 472, 126, 84, 437, 470, 83, 483, 464, 606, 465, 473, 613, 473, 465, 606, 464, 483, 83, 470, 437, 84, 126, 472, 172, 127, 150, 205, 254, 177, 189, 183, 178, 175, 207, 141, 197, 643, 737, 157, 15, 14, 636, 302, 53, 321, 638, 44, 48, 517, 49, 285, 50, 51, 52, 513, 542, 543, 544, 293, 311, 295]</t>
  </si>
  <si>
    <t>[SCENARIO 7] Depot=295</t>
  </si>
  <si>
    <t>[278, 316, 464]</t>
  </si>
  <si>
    <t>[1, 1, 1]</t>
  </si>
  <si>
    <t>[SCENARIO 0] demands=[2, 267, 275, 325, 464, 748, 788, 819] | total=8 | capacities=[3, 3, 2]</t>
  </si>
  <si>
    <t>[RISK@try0] r=0.3976 | closed_before=422 | closed_after=390 | open_ratio=66.9%</t>
  </si>
  <si>
    <t>[Graph change] nonzero edges changed: 780. Recompute SP ...</t>
  </si>
  <si>
    <t>- Target 464: reachable ✓  distance=842.90 | path: [461, 380, 140, 576, 577, 578, 62, 61, 466, 465, 606, 464]</t>
  </si>
  <si>
    <t>- Target 748: reachable ✓  distance=2205.69 | path: [461, 462, 377, 130, 521, 522, 115, 756, 114, 433, 113, 755, 477, 108, 100, 107, 99, 103, 98, 748]</t>
  </si>
  <si>
    <t>- Target 819: reachable ✓  distance=3462.74 | path: [461, 380, 140, 576, 123, 570, 118, 265, 467, 71, 165, 70, 69, 215, 460, 187, 127, 150, 131, 474, 142, 119, 184, 259, 258, 551, 204, 200, 197, 643, 737, 157, 642, 635, 636, 302, 53, 321, 638, 44, 48, 517, 49, 285, 50, 51, 52, 548, 286, 307, 587, 294, 290, 594, 602, 546, 596, 509, 544, 293, 311, 295, 289, 819]</t>
  </si>
  <si>
    <t>- Target 2: reachable ✓  distance=2114.17 | path: [461, 380, 140, 576, 123, 570, 174, 76, 73, 74, 229, 202, 132, 485, 166, 208, 203, 236, 243, 185, 732, 34, 729, 730, 561, 2]</t>
  </si>
  <si>
    <t>- Target 325: reachable ✓  distance=2963.75 | path: [461, 380, 140, 576, 123, 570, 118, 265, 467, 71, 165, 70, 69, 215, 460, 187, 127, 150, 131, 474, 142, 119, 184, 259, 258, 551, 204, 200, 197, 643, 737, 157, 642, 635, 636, 302, 53, 321, 638, 44, 48, 517, 49, 647, 532, 533, 291, 547, 325]</t>
  </si>
  <si>
    <t>- Target 788: UNREACHABLE ✗ | out_deg=1 in_deg=1</t>
  </si>
  <si>
    <t>- Target 267: reachable ✓  distance=3162.25 | path: [461, 380, 140, 576, 123, 570, 118, 265, 467, 71, 165, 70, 69, 215, 460, 187, 127, 150, 131, 474, 142, 119, 184, 259, 258, 551, 204, 200, 197, 643, 737, 157, 642, 635, 636, 302, 53, 321, 638, 44, 48, 517, 49, 285, 50, 51, 52, 548, 286, 307, 591, 592, 276, 593, 267]</t>
  </si>
  <si>
    <t>- Target 275: reachable ✓  distance=1209.40 | path: [461, 462, 377, 209, 137, 168, 666, 669, 564, 630, 275]</t>
  </si>
  <si>
    <t>Unreachable targets: [788]</t>
  </si>
  <si>
    <t>[WARN] Unreachable after risk+reopen: [788]</t>
  </si>
  <si>
    <t>2025-10-16 15:36:04.024447: I tensorflow/stream_executor/cuda/cuda_blas.cc:1786] TensorFloat-32 will be used for the matrix multiplication. This will only be logged once.</t>
  </si>
  <si>
    <t>[TEST] veh=0 terminal reason=empty_home, loc=461, steps_since_delivery=11</t>
  </si>
  <si>
    <t>[TEST] veh=1 terminal reason=empty_home, loc=461, steps_since_delivery=54</t>
  </si>
  <si>
    <t>[TEST] veh=2 terminal reason=stall_vehicle, loc=427, steps_since_delivery=400</t>
  </si>
  <si>
    <t>Total shaped reward: -412.135 | deliveries=7 | backtracks=47</t>
  </si>
  <si>
    <t xml:space="preserve">  veh 0: end_loc=461, cap_left=0, delivered=3, distance=18916.24</t>
  </si>
  <si>
    <t xml:space="preserve">  route: [461, 462, 377, 130, 1, 654, 1, 130, 521, 522, 115, 756, 502, 112, 755, 477, 108, 100, 107, 99, 103, 98, 748, 747, 96, 95, 86, 611, 812, 747, 748, 98, 814, 105, 103, 99, 107, 100, 108, 477, 755, 113, 433, 114, 756, 115, 522, 521, 130, 377, 209, 137, 168, 666, 669, 564, 630, 275, 568, 549, 568, 667, 101, 493, 524, 525, 624, 524, 493, 618, 526, 619, 620, 109, 671, 109, 622, 621, 622, 109, 620, 619, 526, 618, 493, 101, 667, 568, 275, 630, 564, 669, 666, 168, 137, 209, 377, 462, 461, 380, 140, 576, 577, 578, 62, 61, 466, 465, 606, 464, 60, 604, 607, 61, 62, 578, 577, 576, 140, 380, 461]</t>
  </si>
  <si>
    <t xml:space="preserve">  veh 1: end_loc=461, cap_left=0, delivered=3, distance=12351.73</t>
  </si>
  <si>
    <t xml:space="preserve">  route: [461, 380, 378, 380, 140, 262, 140, 576, 577, 578, 63, 614, 577, 576, 123, 570, 174, 76, 73, 74, 229, 202, 132, 485, 166, 208, 203, 236, 243, 185, 732, 34, 729, 730, 561, 2, 603, 2, 561, 730, 729, 682, 729, 730, 561, 2, 603, 2, 561, 730, 729, 34, 732, 212, 665, 133, 240, 164, 38, 36, 158, 35, 19, 157, 642, 635, 636, 302, 53, 321, 638, 44, 48, 517, 49, 647, 532, 533, 291, 547, 325, 301, 569, 531, 288, 582, 296, 582, 288, 531, 584, 530, 585, 673, 674, 810, 308, 89, 518, 90, 518, 89, 308, 810, 674, 673, 585, 530, 301, 325, 547, 291, 513, 52, 548, 286, 307, 591, 592, 276, 593, 267, 593, 276, 592, 591, 307, 286, 548, 52, 51, 50, 285, 49, 517, 48, 44, 638, 321, 53, 302, 636, 635, 642, 157, 737, 643, 197, 200, 204, 551, 258, 259, 184, 119, 142, 474, 131, 150, 127, 187, 460, 215, 69, 70, 165, 71, 467, 265, 118, 570, 123, 576, 140, 380, 461]</t>
  </si>
  <si>
    <t xml:space="preserve">  veh 2: end_loc=427, cap_left=1, delivered=1, distance=55692.08</t>
  </si>
  <si>
    <t xml:space="preserve">  route: [461, 380, 378, 380, 140, 262, 140, 576, 577, 578, 63, 614, 577, 576, 123, 570, 118, 265, 467, 71, 165, 70, 69, 215, 460, 187, 127, 150, 131, 474, 142, 119, 184, 259, 258, 551, 204, 200, 197, 643, 737, 157, 642, 635, 636, 302, 53, 321, 638, 44, 48, 517, 49, 285, 50, 51, 52, 548, 286, 307, 587, 294, 290, 594, 602, 546, 596, 509, 544, 293, 311, 295, 289, 819, 820, 819, 289, 322, 289, 295, 283, 293, 544, 543, 545, 541, 540, 586, 540, 541, 545, 543, 544, 509, 596, 546, 602, 594, 290, 294, 587, 307, 286, 548, 52, 51, 50, 285, 49, 517, 48, 44, 638, 321, 53, 302, 636, 635, 642, 157, 737, 643, 197, 200, 204, 551, 258, 259, 184, 119, 142, 474, 131, 150, 127, 187, 460, 215, 69, 70, 165, 134, 265, 118, 570, 123, 576, 140, 380, 461, 489, 379, 489, 462, 377, 130, 1, 654, 1, 130, 521, 522, 115, 756, 114, 433, 113, 655, 112, 502, 757, 758, 753, 759, 760, 754, 477, 755, 113, 424, 434, 417, 677, 417, 434, 427, 423, 426, 407, 431, 407, 426, 423, 410, 406, 410, 416, 410, 412, 410, 423, 427, 434, 424, 113, 433, 114, 756, 115, 522, 521, 130, 377, 462, 461, 380, 140, 576, 577, 578, 63, 614, 577, 576, 123, 570, 118, 265, 467, 71, 165, 134, 235, 134, 72, 73, 76, 174, 181, 174, 570, 123, 576, 140, 380, 461, 489, 379, 489, 462, 377, 130, 1, 654, 1, 130, 521, 522, 115, 756, 114, 433, 113, 655, 112, 502, 757, 758, 753, 759, 760, 754, 477, 755, 113, 424, 434, 417, 677, 417, 434, 427, 423, 426, 407, 431, 407, 426, 423, 410, 406, 410, 416, 410, 412, 410, 423, 427, 434, 424, 113, 433, 114, 756, 115, 522, 521, 130, 377, 462, 461, 380, 140, 576, 577, 578, 63, 614, 577, 576, 123, 570, 118, 265, 467, 71, 165, 134, 235, 134, 72, 73, 76, 174, 181, 174, 570, 123, 576, 140, 380, 461, 489, 379, 489, 462, 377, 130, 1, 654, 1, 130, 521, 522, 115, 756, 114, 433, 113, 655, 112, 502, 757, 758, 753, 759, 760, 754, 477, 755, 113, 424, 434, 417, 677, 417, 434, 427, 423, 426, 407, 431, 407, 426, 423, 410, 406, 410, 416, 410, 412, 410, 423, 427, 434, 424, 113, 433, 114, 756, 115, 522, 521, 130, 377, 462, 461, 380, 140, 576, 577, 578, 63, 614, 577, 576, 123, 570, 118, 265, 467, 71, 165, 134, 235, 134, 72, 73, 76, 174, 181, 174, 570, 123, 576, 140, 380, 461, 489, 379, 489, 462, 377, 130, 1, 654, 1, 130, 521, 522, 115, 756, 114, 433, 113, 655, 112, 502, 757, 758, 753, 759, 760, 754, 477, 755, 113, 424, 434, 417, 677, 417, 434, 427]</t>
  </si>
  <si>
    <t>[2, 267, 275, 325, 464, 748, 788, 819]</t>
  </si>
  <si>
    <t>[SCENARIO 8] Depot=461</t>
  </si>
  <si>
    <t>[SCENARIO 2] demands=[65, 296, 316, 464, 511, 541, 590] | total=7 | capacities=[3, 2, 2]</t>
  </si>
  <si>
    <t>[RISK@try0] r=0.3976 | closed_before=421 | closed_after=386 | open_ratio=67.3%</t>
  </si>
  <si>
    <t>[Graph change] nonzero edges changed: 772. Recompute SP ...</t>
  </si>
  <si>
    <t>- Target 316: reachable ✓  distance=1351.26 | path: [539, 9, 292, 8, 7, 339, 649, 6, 5, 4, 362, 376, 3, 704, 479, 561, 2, 503, 349, 653, 364, 316]</t>
  </si>
  <si>
    <t>- Target 464: reachable ✓  distance=2558.77 | path: [539, 601, 600, 266, 512, 46, 43, 637, 53, 302, 636, 635, 642, 157, 737, 643, 197, 200, 204, 551, 258, 259, 184, 119, 142, 474, 131, 150, 127, 172, 472, 126, 84, 437, 470, 83, 79, 763, 60, 464]</t>
  </si>
  <si>
    <t>- Target 296: reachable ✓  distance=409.40 | path: [539, 601, 600, 270, 268, 299, 49, 647, 320, 296]</t>
  </si>
  <si>
    <t>- Target 590: reachable ✓  distance=273.56 | path: [539, 599, 273, 309, 287, 588, 590]</t>
  </si>
  <si>
    <t>- Target 511: reachable ✓  distance=593.11 | path: [539, 599, 273, 309, 287, 588, 286, 514, 294, 290, 594, 602, 546, 596, 509, 511]</t>
  </si>
  <si>
    <t>- Target 65: reachable ✓  distance=2495.60 | path: [539, 601, 600, 266, 512, 46, 43, 637, 53, 302, 636, 635, 642, 157, 737, 643, 197, 200, 204, 551, 258, 259, 184, 119, 142, 474, 131, 150, 127, 172, 472, 126, 84, 437, 470, 83, 79, 67, 65]</t>
  </si>
  <si>
    <t>- Target 541: reachable ✓  distance=778.92 | path: [539, 599, 273, 309, 287, 588, 286, 514, 294, 290, 594, 602, 546, 596, 509, 544, 543, 545, 541]</t>
  </si>
  <si>
    <t>[TEST] veh=0 terminal reason=empty_home, loc=539, steps_since_delivery=17</t>
  </si>
  <si>
    <t>[TEST] veh=1 terminal reason=empty_home, loc=539, steps_since_delivery=21</t>
  </si>
  <si>
    <t>[TEST] veh=2 terminal reason=solved, loc=539, steps_since_delivery=39</t>
  </si>
  <si>
    <t>Total shaped reward: -64.773 | deliveries=7 | backtracks=9</t>
  </si>
  <si>
    <t xml:space="preserve">  veh 0: end_loc=539, cap_left=0, delivered=3, distance=3248.10</t>
  </si>
  <si>
    <t xml:space="preserve">  route: [539, 9, 292, 8, 7, 339, 648, 42, 651, 436, 651, 648, 45, 512, 46, 43, 637, 53, 321, 300, 574, 320, 296, 582, 288, 531, 569, 532, 533, 532, 647, 49, 285, 50, 51, 52, 513, 542, 514, 286, 588, 590, 589, 592, 591, 592, 276, 593, 310, 595, 597, 546, 596, 509, 511, 303, 511, 509, 596, 546, 602, 594, 290, 294, 514, 286, 588, 287, 309, 273, 599, 539]</t>
  </si>
  <si>
    <t xml:space="preserve">  veh 1: end_loc=539, cap_left=0, delivered=2, distance=5618.77</t>
  </si>
  <si>
    <t xml:space="preserve">  route: [539, 9, 292, 8, 7, 339, 648, 42, 651, 436, 651, 648, 45, 512, 266, 600, 270, 268, 50, 51, 52, 513, 542, 514, 294, 290, 594, 602, 546, 596, 509, 544, 543, 545, 541, 540, 586, 540, 541, 545, 543, 544, 293, 311, 295, 283, 293, 544, 509, 596, 546, 602, 594, 290, 294, 514, 286, 588, 287, 309, 273, 599, 539, 9, 292, 8, 7, 339, 649, 6, 5, 4, 362, 376, 3, 704, 479, 561, 2, 503, 349, 653, 364, 316, 364, 653, 349, 503, 2, 561, 479, 704, 3, 376, 362, 4, 5, 6, 649, 339, 7, 8, 292, 9, 539]</t>
  </si>
  <si>
    <t xml:space="preserve">  veh 2: end_loc=539, cap_left=0, delivered=2, distance=6630.06</t>
  </si>
  <si>
    <t xml:space="preserve">  route: [539, 9, 292, 8, 7, 339, 648, 42, 651, 436, 651, 648, 45, 512, 46, 43, 637, 53, 302, 636, 635, 642, 157, 737, 643, 197, 200, 204, 551, 258, 259, 184, 119, 142, 474, 131, 150, 127, 172, 472, 126, 84, 437, 470, 83, 79, 67, 65, 463, 610, 608, 480, 615, 64, 66, 62, 475, 476, 475, 62, 61, 607, 606, 464, 60, 763, 79, 83, 470, 437, 84, 126, 472, 172, 127, 150, 131, 474, 142, 119, 184, 259, 258, 551, 204, 200, 197, 643, 737, 157, 642, 635, 636, 302, 53, 637, 43, 46, 512, 266, 600, 601, 539]</t>
  </si>
  <si>
    <t>[SCENARIO 9] Depot=539</t>
  </si>
  <si>
    <t>[3, 2, 2]</t>
  </si>
  <si>
    <t>[65, 296, 316, 464, 511, 541, 590]</t>
  </si>
  <si>
    <t xml:space="preserve">[607, 620, 748] </t>
  </si>
  <si>
    <t>[SCENARIO 0] demands=[607, 620, 748] | total=3 | capacities=[1, 1, 1]</t>
  </si>
  <si>
    <t>[RISK@try0] r=0.4452 | closed_before=225 | closed_after=220 | open_ratio=81.4%</t>
  </si>
  <si>
    <t>[RISK@try1] r=0.4695 | closed_before=120 | closed_after=120 | open_ratio=89.8%</t>
  </si>
  <si>
    <t>[Graph change] nonzero edges changed: 240. Recompute SP ...</t>
  </si>
  <si>
    <t>- Target 607: reachable ✓  distance=3357.09 | path: [428, 670, 422, 94, 429, 750, 751, 679, 414, 412, 410, 416, 424, 113, 655, 112, 502, 756, 115, 522, 521, 130, 377, 462, 461, 380, 140, 576, 577, 578, 62, 61, 607]</t>
  </si>
  <si>
    <t>- Target 748: reachable ✓  distance=601.13 | path: [428, 670, 422, 94, 429, 750, 611, 812, 747, 748]</t>
  </si>
  <si>
    <t>- Target 620: reachable ✓  distance=1590.26 | path: [428, 670, 422, 94, 429, 750, 751, 679, 414, 412, 410, 416, 424, 113, 655, 656, 661, 621, 622, 109, 620]</t>
  </si>
  <si>
    <t>2025-10-16 16:04:02.948211: I tensorflow/stream_executor/cuda/cuda_blas.cc:1786] TensorFloat-32 will be used for the matrix multiplication. This will only be logged once.</t>
  </si>
  <si>
    <t>[TEST] veh=0 terminal reason=empty_home, loc=428, steps_since_delivery=11</t>
  </si>
  <si>
    <t>[TEST] veh=1 terminal reason=empty_home, loc=428, steps_since_delivery=26</t>
  </si>
  <si>
    <t>[TEST] veh=2 terminal reason=solved, loc=428, steps_since_delivery=34</t>
  </si>
  <si>
    <t>Total shaped reward: -55.428 | deliveries=3 | backtracks=4</t>
  </si>
  <si>
    <t xml:space="preserve">  veh 0: end_loc=428, cap_left=0, delivered=1, distance=2751.03</t>
  </si>
  <si>
    <t xml:space="preserve">  route: [428, 432, 469, 409, 405, 435, 81, 403, 745, 394, 389, 396, 388, 396, 389, 394, 745, 408, 421, 670, 422, 94, 429, 750, 611, 812, 747, 748, 98, 814, 102, 812, 611, 750, 429, 94, 422, 670, 428]</t>
  </si>
  <si>
    <t xml:space="preserve">  veh 1: end_loc=428, cap_left=0, delivered=1, distance=4861.60</t>
  </si>
  <si>
    <t xml:space="preserve">  route: [428, 432, 469, 409, 405, 435, 81, 403, 745, 394, 389, 396, 388, 396, 389, 394, 745, 408, 421, 670, 422, 94, 429, 750, 751, 679, 414, 412, 410, 416, 424, 113, 655, 656, 661, 621, 622, 109, 620, 619, 497, 494, 497, 619, 620, 109, 622, 621, 661, 656, 655, 113, 424, 416, 410, 412, 414, 679, 751, 750, 429, 94, 422, 670, 428]</t>
  </si>
  <si>
    <t xml:space="preserve">  veh 2: end_loc=428, cap_left=0, delivered=1, distance=8275.74</t>
  </si>
  <si>
    <t xml:space="preserve">  route: [428, 432, 469, 409, 405, 435, 81, 403, 745, 394, 389, 396, 388, 396, 389, 394, 745, 408, 421, 670, 422, 94, 429, 750, 751, 679, 414, 412, 410, 416, 424, 113, 655, 112, 502, 756, 115, 522, 521, 130, 377, 462, 461, 380, 140, 576, 577, 578, 62, 61, 607, 604, 605, 66, 62, 578, 577, 576, 140, 380, 461, 462, 377, 130, 521, 522, 115, 756, 502, 112, 655, 113, 424, 416, 410, 412, 414, 679, 751, 750, 429, 94, 422, 670, 428]</t>
  </si>
  <si>
    <t>[SCENARIO 10] Depot=428</t>
  </si>
  <si>
    <t>[SCENARIO 2] demands=[316, 607, 622, 753] | total=4 | capacities=[2, 1, 1]</t>
  </si>
  <si>
    <t>[RISK@try0] r=0.4452 | closed_before=224 | closed_after=221 | open_ratio=81.3%</t>
  </si>
  <si>
    <t>[RISK@try1] r=0.4585 | closed_before=166 | closed_after=164 | open_ratio=86.1%</t>
  </si>
  <si>
    <t>[Graph change] nonzero edges changed: 328. Recompute SP ...</t>
  </si>
  <si>
    <t>- Target 607: reachable ✓  distance=1573.42 | path: [564, 669, 666, 168, 211, 196, 223, 154, 117, 120, 123, 576, 577, 578, 62, 61, 607]</t>
  </si>
  <si>
    <t>- Target 316: reachable ✓  distance=1391.68 | path: [564, 669, 305, 319, 498, 500, 373, 631, 366, 346, 349, 653, 364, 316]</t>
  </si>
  <si>
    <t>- Target 622: reachable ✓  distance=2147.58 | path: [564, 563, 565, 630, 275, 568, 667, 623, 496, 525, 524, 493, 618, 111, 110, 671, 109, 622]</t>
  </si>
  <si>
    <t>- Target 753: reachable ✓  distance=2131.28 | path: [564, 669, 666, 168, 137, 209, 377, 130, 521, 522, 115, 756, 114, 433, 113, 655, 112, 758, 753]</t>
  </si>
  <si>
    <t>[TEST] veh=0 terminal reason=empty_home, loc=564, steps_since_delivery=16</t>
  </si>
  <si>
    <t>[TEST] veh=1 terminal reason=empty_home, loc=564, steps_since_delivery=20</t>
  </si>
  <si>
    <t>[TEST] veh=2 terminal reason=solved, loc=564, steps_since_delivery=21</t>
  </si>
  <si>
    <t>Total shaped reward: -59.542 | deliveries=4 | backtracks=3</t>
  </si>
  <si>
    <t xml:space="preserve">  veh 0: end_loc=564, cap_left=0, delivered=2, distance=6937.62</t>
  </si>
  <si>
    <t xml:space="preserve">  route: [564, 669, 666, 626, 672, 92, 203, 208, 180, 210, 156, 240, 133, 665, 212, 732, 34, 729, 730, 561, 2, 503, 349, 653, 364, 316, 364, 653, 313, 343, 326, 374, 368, 479, 368, 350, 478, 3, 704, 699, 733, 13, 558, 559, 19, 35, 158, 36, 152, 37, 206, 189, 177, 254, 205, 150, 127, 172, 472, 126, 84, 437, 471, 68, 484, 483, 464, 606, 607, 61, 62, 578, 577, 576, 123, 120, 117, 154, 223, 196, 211, 168, 666, 669, 564]</t>
  </si>
  <si>
    <t xml:space="preserve">  veh 1: end_loc=564, cap_left=0, delivered=1, distance=6381.02</t>
  </si>
  <si>
    <t xml:space="preserve">  route: [564, 669, 666, 626, 672, 92, 203, 208, 180, 210, 156, 240, 216, 243, 236, 203, 490, 482, 616, 247, 195, 626, 666, 168, 137, 209, 377, 130, 521, 522, 115, 756, 114, 433, 113, 655, 112, 758, 753, 759, 760, 754, 477, 755, 113, 433, 114, 756, 115, 522, 521, 130, 377, 209, 137, 168, 666, 669, 564]</t>
  </si>
  <si>
    <t xml:space="preserve">  veh 2: end_loc=564, cap_left=0, delivered=1, distance=7444.83</t>
  </si>
  <si>
    <t xml:space="preserve">  route: [564, 669, 666, 626, 672, 92, 203, 208, 180, 210, 156, 240, 216, 243, 236, 203, 490, 482, 616, 247, 195, 626, 666, 669, 564, 563, 565, 630, 275, 568, 667, 623, 496, 525, 524, 493, 618, 111, 110, 671, 109, 622, 621, 661, 621, 622, 109, 671, 110, 111, 618, 493, 524, 525, 496, 623, 667, 568, 275, 630, 565, 563, 564]</t>
  </si>
  <si>
    <t>[SCENARIO 11] Depot=564</t>
  </si>
  <si>
    <t>[316, 607, 622, 753]</t>
  </si>
  <si>
    <t>[SCENARIO 0] demands=[165, 316, 363, 441, 739, 748] | total=6 | capacities=[3, 3]</t>
  </si>
  <si>
    <t>[RISK@try0] r=0.4452 | closed_before=224 | closed_after=219 | open_ratio=81.4%</t>
  </si>
  <si>
    <t>[RISK@try1] r=0.4325 | closed_before=274 | closed_after=261 | open_ratio=77.9%</t>
  </si>
  <si>
    <t>[RISK@try2] r=0.4311 | closed_before=280 | closed_after=267 | open_ratio=77.4%</t>
  </si>
  <si>
    <t>[RISK@try3] r=0.4366 | closed_before=252 | closed_after=240 | open_ratio=79.7%</t>
  </si>
  <si>
    <t>[RISK@try4] r=0.4674 | closed_before=134 | closed_after=134 | open_ratio=88.6%</t>
  </si>
  <si>
    <t>[Graph change] nonzero edges changed: 268. Recompute SP ...</t>
  </si>
  <si>
    <t>- Target 748: reachable ✓  distance=2951.37 | path: [401, 609, 608, 480, 615, 64, 63, 578, 577, 576, 140, 380, 461, 462, 377, 130, 521, 522, 115, 756, 502, 112, 755, 477, 754, 108, 100, 107, 99, 103, 98, 748]</t>
  </si>
  <si>
    <t>- Target 316: reachable ✓  distance=2780.11 | path: [401, 609, 391, 815, 610, 463, 65, 67, 764, 763, 60, 464, 483, 83, 470, 437, 84, 126, 472, 172, 127, 150, 205, 254, 177, 189, 206, 37, 164, 240, 216, 212, 732, 34, 729, 730, 561, 2, 503, 349, 653, 364, 316]</t>
  </si>
  <si>
    <t>- Target 739: reachable ✓  distance=3655.13 | path: [401, 609, 608, 480, 615, 64, 63, 578, 577, 576, 123, 120, 117, 154, 223, 196, 211, 168, 666, 669, 564, 563, 565, 630, 275, 568, 667, 623, 496, 525, 624, 625, 705, 523, 706, 739]</t>
  </si>
  <si>
    <t>- Target 165: reachable ✓  distance=1127.85 | path: [401, 609, 608, 480, 615, 64, 63, 578, 577, 576, 123, 570, 174, 76, 235, 134, 165]</t>
  </si>
  <si>
    <t>- Target 363: reachable ✓  distance=2674.13 | path: [401, 609, 391, 815, 610, 463, 65, 67, 764, 763, 60, 464, 483, 83, 470, 437, 84, 126, 472, 172, 127, 150, 205, 254, 177, 189, 206, 37, 152, 36, 158, 35, 19, 559, 558, 13, 733, 699, 704, 3, 478, 328, 363]</t>
  </si>
  <si>
    <t>- Target 441: reachable ✓  distance=2781.52 | path: [401, 609, 608, 480, 615, 64, 63, 578, 577, 576, 123, 120, 117, 154, 223, 196, 211, 168, 666, 669, 564, 563, 629, 495, 441]</t>
  </si>
  <si>
    <t>2025-10-21 12:44:41.539481: I tensorflow/stream_executor/cuda/cuda_blas.cc:1786] TensorFloat-32 will be used for the matrix multiplication. This will only be logged once.</t>
  </si>
  <si>
    <t>[TEST] veh=0 terminal reason=empty_home, loc=401, steps_since_delivery=42</t>
  </si>
  <si>
    <t>[TEST] veh=1 terminal reason=solved, loc=401, steps_since_delivery=34</t>
  </si>
  <si>
    <t>Total shaped reward: -82.013 | deliveries=6 | backtracks=2</t>
  </si>
  <si>
    <t xml:space="preserve">  veh 0: end_loc=401, cap_left=0, delivered=3, distance=8333.09</t>
  </si>
  <si>
    <t xml:space="preserve">  route: [401, 609, 391, 815, 610, 463, 65, 67, 764, 763, 79, 83, 470, 437, 84, 126, 472, 460, 215, 124, 72, 70, 165, 71, 467, 265, 134, 235, 76, 73, 74, 229, 202, 132, 485, 166, 125, 490, 203, 236, 243, 216, 212, 732, 34, 729, 730, 561, 2, 503, 313, 343, 326, 374, 352, 332, 328, 363, 330, 361, 352, 332, 350, 478, 3, 376, 362, 4, 556, 5, 6, 649, 340, 644, 375, 351, 347, 372, 330, 361, 352, 374, 326, 343, 313, 503, 349, 653, 364, 316, 364, 653, 349, 503, 2, 561, 730, 729, 34, 732, 212, 216, 240, 164, 37, 206, 189, 177, 254, 205, 150, 127, 172, 472, 126, 84, 437, 470, 83, 483, 464, 60, 763, 764, 67, 65, 463, 610, 815, 391, 609, 401]</t>
  </si>
  <si>
    <t xml:space="preserve">  veh 1: end_loc=401, cap_left=0, delivered=3, distance=16485.70</t>
  </si>
  <si>
    <t xml:space="preserve">  route: [401, 609, 391, 815, 610, 463, 65, 67, 764, 763, 79, 83, 470, 437, 84, 126, 472, 460, 215, 124, 229, 74, 75, 486, 488, 233, 144, 247, 195, 626, 666, 669, 564, 563, 629, 495, 441, 442, 450, 451, 444, 315, 623, 667, 568, 549, 728, 672, 626, 666, 669, 564, 563, 565, 630, 275, 93, 319, 305, 669, 564, 563, 565, 630, 275, 568, 667, 623, 496, 525, 624, 625, 705, 523, 706, 739, 738, 739, 706, 523, 111, 618, 493, 101, 667, 568, 549, 1, 130, 521, 522, 115, 756, 502, 112, 755, 477, 754, 108, 100, 107, 99, 103, 98, 748, 96, 747, 748, 98, 103, 99, 107, 100, 108, 754, 477, 755, 112, 502, 756, 115, 522, 521, 130, 377, 462, 461, 380, 140, 576, 577, 578, 63, 64, 615, 480, 608, 609, 401]</t>
  </si>
  <si>
    <t>[SCENARIO 12] Depot=401</t>
  </si>
  <si>
    <t>[165, 316, 363, 441, 739, 748]</t>
  </si>
  <si>
    <t>[3, 3]</t>
  </si>
  <si>
    <t>[SCENARIO 1] demands=[155, 208, 240, 321, 464, 748] | total=6 | capacities=[3, 3]</t>
  </si>
  <si>
    <t>[RISK@try0] r=0.4452 | closed_before=225 | closed_after=218 | open_ratio=81.5%</t>
  </si>
  <si>
    <t>[RISK@try1] r=0.4647 | closed_before=151 | closed_after=151 | open_ratio=87.2%</t>
  </si>
  <si>
    <t>[Graph change] nonzero edges changed: 302. Recompute SP ...</t>
  </si>
  <si>
    <t>- Target 464: reachable ✓  distance=2970.69 | path: [450, 442, 441, 495, 629, 563, 564, 669, 666, 626, 195, 247, 144, 233, 488, 486, 75, 74, 73, 72, 124, 215, 460, 472, 126, 84, 437, 470, 83, 483, 464]</t>
  </si>
  <si>
    <t>- Target 748: reachable ✓  distance=4057.51 | path: [450, 442, 441, 495, 629, 563, 564, 669, 666, 168, 137, 209, 377, 130, 521, 522, 115, 756, 502, 112, 755, 477, 754, 108, 100, 107, 99, 103, 98, 748]</t>
  </si>
  <si>
    <t>- Target 240: reachable ✓  distance=2516.47 | path: [450, 442, 441, 495, 629, 563, 564, 669, 666, 626, 195, 247, 616, 482, 490, 203, 236, 210, 156, 240]</t>
  </si>
  <si>
    <t>- Target 155: reachable ✓  distance=1926.01 | path: [450, 442, 441, 495, 629, 563, 564, 669, 666, 168, 211, 256, 237, 155]</t>
  </si>
  <si>
    <t>- Target 208: reachable ✓  distance=2268.58 | path: [450, 442, 441, 495, 629, 563, 564, 669, 666, 626, 195, 247, 616, 482, 490, 203, 208]</t>
  </si>
  <si>
    <t>- Target 321: reachable ✓  distance=3494.88 | path: [450, 442, 441, 495, 629, 563, 564, 669, 305, 319, 498, 500, 373, 631, 366, 346, 349, 503, 313, 343, 326, 374, 368, 350, 478, 3, 376, 362, 4, 5, 6, 649, 339, 7, 8, 45, 512, 46, 47, 48, 44, 638, 321]</t>
  </si>
  <si>
    <t>[TEST] veh=0 terminal reason=empty_home, loc=450, steps_since_delivery=14</t>
  </si>
  <si>
    <t>[TEST] veh=1 terminal reason=solved, loc=450, steps_since_delivery=32</t>
  </si>
  <si>
    <t>Total shaped reward: -77.546 | deliveries=6 | backtracks=1</t>
  </si>
  <si>
    <t xml:space="preserve">  veh 0: end_loc=450, cap_left=0, delivered=3, distance=11915.36</t>
  </si>
  <si>
    <t xml:space="preserve">  route: [450, 442, 441, 495, 629, 563, 564, 669, 666, 626, 672, 92, 203, 208, 180, 210, 236, 243, 216, 212, 732, 185, 680, 683, 681, 682, 729, 34, 731, 730, 561, 2, 503, 313, 343, 358, 343, 313, 503, 2, 561, 730, 729, 34, 732, 212, 216, 240, 156, 210, 236, 203, 92, 672, 728, 549, 568, 667, 623, 315, 496, 525, 524, 624, 625, 705, 523, 111, 618, 493, 524, 525, 496, 623, 667, 568, 275, 630, 565, 563, 564, 669, 666, 168, 211, 256, 237, 155, 162, 149, 256, 211, 168, 666, 669, 564, 563, 629, 495, 441, 442, 450]</t>
  </si>
  <si>
    <t xml:space="preserve">  veh 1: end_loc=450, cap_left=0, delivered=3, distance=15494.12</t>
  </si>
  <si>
    <t xml:space="preserve">  route: [450, 442, 441, 495, 629, 563, 564, 669, 666, 626, 672, 92, 203, 208, 166, 485, 132, 202, 229, 124, 215, 460, 472, 126, 84, 437, 470, 83, 483, 464, 606, 607, 604, 60, 763, 79, 83, 470, 437, 85, 122, 198, 239, 126, 472, 172, 127, 150, 205, 254, 177, 189, 183, 178, 175, 207, 141, 197, 643, 737, 157, 15, 14, 636, 302, 53, 321, 638, 44, 48, 47, 46, 43, 637, 54, 633, 634, 54, 637, 43, 436, 650, 55, 10, 555, 556, 4, 362, 376, 3, 478, 350, 368, 374, 326, 343, 313, 503, 2, 561, 730, 729, 34, 732, 185, 243, 236, 203, 490, 482, 616, 247, 195, 626, 666, 168, 137, 209, 377, 130, 521, 522, 115, 756, 502, 112, 755, 477, 754, 108, 100, 107, 99, 103, 98, 748, 96, 747, 748, 98, 103, 99, 107, 100, 108, 754, 477, 755, 112, 502, 756, 115, 522, 521, 130, 377, 209, 137, 168, 666, 669, 564, 563, 629, 495, 441, 442, 450]</t>
  </si>
  <si>
    <t>[SCENARIO 13] Depot=450</t>
  </si>
  <si>
    <t xml:space="preserve">[155, 208, 240, 321, 464, 748] </t>
  </si>
  <si>
    <t>[SCENARIO 2] demands=[384, 464, 577, 748] | total=4 | capacities=[2, 2]</t>
  </si>
  <si>
    <t>[RISK@try0] r=0.4452 | closed_before=225 | closed_after=211 | open_ratio=82.1%</t>
  </si>
  <si>
    <t>[RISK@try1] r=0.4516 | closed_before=201 | closed_after=189 | open_ratio=84.0%</t>
  </si>
  <si>
    <t>[RISK@try2] r=0.4400 | closed_before=242 | closed_after=227 | open_ratio=80.8%</t>
  </si>
  <si>
    <t>[RISK@try3] r=0.4482 | closed_before=215 | closed_after=203 | open_ratio=82.8%</t>
  </si>
  <si>
    <t>[RISK@try4] r=0.4551 | closed_before=186 | closed_after=175 | open_ratio=85.2%</t>
  </si>
  <si>
    <t>[Graph change] nonzero edges changed: 350. Recompute SP ...</t>
  </si>
  <si>
    <t>- Target 464: reachable ✓  distance=1933.68 | path: [7, 339, 649, 6, 5, 556, 555, 632, 733, 13, 558, 559, 19, 35, 158, 36, 152, 37, 206, 189, 177, 254, 205, 150, 127, 172, 472, 126, 84, 437, 471, 68, 484, 483, 464]</t>
  </si>
  <si>
    <t>- Target 748: reachable ✓  distance=4138.90 | path: [7, 339, 649, 6, 5, 4, 362, 376, 3, 704, 479, 561, 730, 729, 680, 683, 92, 672, 728, 549, 1, 130, 521, 522, 115, 756, 114, 433, 113, 755, 477, 108, 100, 107, 99, 103, 98, 748]</t>
  </si>
  <si>
    <t>- Target 384: reachable ✓  distance=2096.22 | path: [7, 339, 649, 6, 5, 556, 555, 632, 733, 13, 558, 559, 19, 35, 158, 36, 152, 37, 206, 189, 177, 254, 205, 150, 127, 172, 472, 126, 84, 122, 85, 57, 385, 383, 382, 384]</t>
  </si>
  <si>
    <t>- Target 577: reachable ✓  distance=2417.18 | path: [7, 339, 649, 6, 5, 556, 555, 632, 733, 13, 558, 559, 19, 35, 158, 36, 152, 37, 206, 189, 177, 254, 205, 150, 127, 172, 472, 126, 84, 437, 471, 68, 484, 483, 464, 606, 465, 466, 61, 62, 578, 577]</t>
  </si>
  <si>
    <t>[TEST] veh=0 terminal reason=empty_home, loc=7, steps_since_delivery=35</t>
  </si>
  <si>
    <t>[TEST] veh=1 terminal reason=solved, loc=7, steps_since_delivery=40</t>
  </si>
  <si>
    <t>Total shaped reward: -35.408 | deliveries=4 | backtracks=1</t>
  </si>
  <si>
    <t xml:space="preserve">  veh 0: end_loc=7, cap_left=0, delivered=2, distance=5619.71</t>
  </si>
  <si>
    <t xml:space="preserve">  route: [7, 339, 648, 42, 651, 650, 55, 10, 555, 556, 4, 5, 6, 554, 10, 555, 632, 733, 13, 558, 559, 19, 35, 158, 36, 152, 37, 206, 189, 177, 254, 205, 150, 127, 172, 472, 126, 84, 437, 471, 68, 484, 483, 464, 606, 607, 604, 60, 763, 79, 83, 470, 437, 85, 57, 385, 383, 382, 384, 382, 383, 385, 57, 85, 122, 84, 126, 472, 172, 127, 150, 205, 254, 177, 189, 206, 37, 152, 36, 158, 35, 19, 559, 558, 13, 733, 632, 555, 556, 5, 6, 649, 339, 7]</t>
  </si>
  <si>
    <t xml:space="preserve">  veh 1: end_loc=7, cap_left=0, delivered=2, distance=11509.44</t>
  </si>
  <si>
    <t xml:space="preserve">  route: [7, 339, 648, 42, 651, 650, 55, 10, 555, 556, 4, 5, 6, 554, 10, 555, 632, 733, 13, 558, 559, 19, 35, 158, 36, 152, 37, 206, 189, 177, 254, 205, 150, 127, 172, 472, 126, 84, 437, 471, 68, 484, 483, 464, 606, 465, 466, 61, 62, 578, 577, 614, 63, 64, 65, 67, 764, 763, 79, 83, 470, 437, 471, 68, 484, 483, 464, 606, 607, 61, 62, 578, 577, 576, 140, 380, 461, 462, 377, 130, 521, 522, 115, 756, 114, 433, 113, 755, 477, 108, 100, 107, 99, 103, 98, 748, 96, 747, 748, 98, 103, 99, 107, 100, 108, 477, 755, 113, 433, 114, 756, 115, 522, 521, 130, 1, 549, 728, 672, 92, 683, 680, 729, 730, 561, 479, 704, 3, 376, 362, 4, 5, 6, 649, 339, 7]</t>
  </si>
  <si>
    <t>[SCENARIO 14] Depot=7</t>
  </si>
  <si>
    <t>[384, 464, 577, 748]</t>
  </si>
  <si>
    <t>[2, 2]</t>
  </si>
  <si>
    <t>[SCENARIO 1] demands=[173, 464, 531, 748] | total=4 | capacities=[2, 2]</t>
  </si>
  <si>
    <t>[RISK@try1] r=0.4387 | closed_before=247 | closed_after=241 | open_ratio=79.6%</t>
  </si>
  <si>
    <t>[RISK@try2] r=0.4481 | closed_before=216 | closed_after=210 | open_ratio=82.2%</t>
  </si>
  <si>
    <t>[RISK@try3] r=0.4481 | closed_before=216 | closed_after=210 | open_ratio=82.2%</t>
  </si>
  <si>
    <t>[RISK@try4] r=0.4643 | closed_before=155 | closed_after=155 | open_ratio=86.9%</t>
  </si>
  <si>
    <t>[Graph change] nonzero edges changed: 310. Recompute SP ...</t>
  </si>
  <si>
    <t>- Target 748: reachable ✓  distance=3768.12 | path: [623, 667, 568, 549, 1, 130, 521, 522, 115, 756, 502, 112, 755, 477, 754, 108, 100, 107, 99, 103, 98, 748]</t>
  </si>
  <si>
    <t>- Target 464: reachable ✓  distance=3042.79 | path: [623, 667, 568, 275, 630, 565, 563, 564, 669, 666, 626, 195, 247, 144, 233, 488, 486, 75, 74, 73, 72, 124, 215, 460, 472, 126, 84, 437, 470, 83, 483, 464]</t>
  </si>
  <si>
    <t>- Target 173: reachable ✓  distance=3420.04 | path: [623, 667, 568, 275, 630, 565, 563, 564, 669, 666, 626, 195, 247, 616, 482, 490, 203, 208, 180, 210, 156, 240, 164, 37, 152, 175, 204, 551, 258, 259, 252, 173]</t>
  </si>
  <si>
    <t>- Target 531: reachable ✓  distance=3775.20 | path: [623, 667, 568, 275, 630, 565, 563, 564, 669, 305, 319, 498, 500, 373, 631, 366, 346, 349, 503, 313, 343, 326, 374, 368, 350, 478, 3, 376, 362, 4, 5, 6, 649, 339, 7, 8, 45, 512, 46, 47, 48, 517, 49, 647, 532, 569, 531]</t>
  </si>
  <si>
    <t>[TEST] veh=0 terminal reason=empty_home, loc=623, steps_since_delivery=33</t>
  </si>
  <si>
    <t>[TEST] veh=1 terminal reason=solved, loc=623, steps_since_delivery=24</t>
  </si>
  <si>
    <t>Total shaped reward: -45.975 | deliveries=4 | backtracks=1</t>
  </si>
  <si>
    <t xml:space="preserve">  veh 0: end_loc=623, cap_left=0, delivered=2, distance=10297.65</t>
  </si>
  <si>
    <t xml:space="preserve">  route: [623, 667, 568, 549, 1, 130, 377, 209, 137, 168, 666, 626, 195, 263, 144, 233, 488, 487, 250, 75, 74, 73, 72, 124, 215, 460, 472, 126, 84, 437, 470, 83, 483, 464, 606, 465, 466, 61, 62, 578, 63, 614, 577, 576, 123, 570, 174, 76, 235, 134, 72, 124, 215, 460, 187, 225, 205, 254, 177, 189, 183, 184, 259, 252, 173, 201, 173, 252, 259, 258, 551, 204, 175, 152, 37, 164, 240, 156, 210, 180, 208, 203, 490, 482, 616, 247, 195, 626, 666, 669, 564, 563, 565, 630, 275, 568, 667, 623]</t>
  </si>
  <si>
    <t xml:space="preserve">  veh 1: end_loc=623, cap_left=0, delivered=2, distance=14824.34</t>
  </si>
  <si>
    <t xml:space="preserve">  route: [623, 667, 568, 549, 1, 130, 377, 209, 137, 168, 666, 626, 672, 92, 203, 236, 243, 185, 732, 34, 729, 682, 681, 91, 17, 12, 14, 636, 302, 53, 321, 638, 44, 48, 517, 49, 647, 532, 569, 531, 584, 530, 301, 325, 547, 291, 513, 542, 543, 602, 546, 596, 597, 595, 310, 306, 290, 594, 602, 543, 542, 513, 52, 51, 50, 285, 49, 517, 48, 44, 638, 321, 53, 302, 636, 14, 15, 16, 558, 559, 19, 35, 158, 36, 38, 164, 240, 156, 210, 180, 208, 203, 490, 482, 616, 247, 195, 626, 666, 168, 137, 209, 377, 130, 521, 522, 115, 756, 502, 112, 755, 477, 754, 108, 100, 107, 99, 103, 98, 748, 96, 747, 748, 98, 103, 99, 107, 100, 108, 754, 477, 755, 112, 502, 756, 115, 522, 521, 130, 1, 549, 568, 667, 623]</t>
  </si>
  <si>
    <t>[SCENARIO 15] Depot=623</t>
  </si>
  <si>
    <t xml:space="preserve">[173, 464, 531, 748] </t>
  </si>
  <si>
    <t>[3, 2]</t>
  </si>
  <si>
    <t>[6, 133, 607, 634, 748]</t>
  </si>
  <si>
    <t>[SCENARIO 0] demands=[229, 244, 282, 529, 577, 607, 686, 748, 762, 801] | total=10 | capacities=[5, 5]</t>
  </si>
  <si>
    <t>[RISK@try0] r=0.3843 | closed_before=465 | closed_after=430 | open_ratio=63.6%</t>
  </si>
  <si>
    <t>[Graph change] nonzero edges changed: 860. Recompute SP ...</t>
  </si>
  <si>
    <t>- Target 748: reachable ✓  distance=922.56 | path: [113, 655, 112, 755, 477, 754, 108, 100, 107, 99, 103, 105, 814, 98, 748]</t>
  </si>
  <si>
    <t>- Target 607: reachable ✓  distance=2244.59 | path: [113, 433, 114, 756, 115, 522, 521, 130, 377, 462, 461, 380, 140, 576, 577, 578, 62, 61, 607]</t>
  </si>
  <si>
    <t>- Target 529: UNREACHABLE ✗ | out_deg=1 in_deg=1</t>
  </si>
  <si>
    <t>- Target 801: UNREACHABLE ✗ | out_deg=1 in_deg=1</t>
  </si>
  <si>
    <t>- Target 229: reachable ✓  distance=2269.13 | path: [113, 433, 114, 756, 115, 522, 521, 130, 377, 209, 137, 168, 666, 626, 195, 247, 144, 233, 488, 486, 132, 202, 229]</t>
  </si>
  <si>
    <t>- Target 686: reachable ✓  distance=4001.98 | path: [113, 433, 114, 756, 115, 522, 521, 130, 377, 209, 137, 168, 666, 626, 195, 247, 144, 233, 488, 486, 132, 485, 242, 161, 257, 227, 240, 164, 38, 36, 158, 141, 197, 200, 253, 241, 188, 246, 176, 222, 686]</t>
  </si>
  <si>
    <t>- Target 762: reachable ✓  distance=1376.40 | path: [113, 424, 416, 410, 412, 414, 679, 752, 749, 746, 80, 428, 403, 81, 425, 82, 390, 762]</t>
  </si>
  <si>
    <t>- Target 244: reachable ✓  distance=3550.59 | path: [113, 433, 114, 756, 115, 522, 521, 130, 377, 209, 137, 168, 666, 626, 195, 247, 144, 233, 488, 486, 132, 485, 242, 161, 257, 227, 240, 164, 38, 36, 158, 141, 197, 643, 224, 244]</t>
  </si>
  <si>
    <t>- Target 577: reachable ✓  distance=1903.13 | path: [113, 433, 114, 756, 115, 522, 521, 130, 377, 462, 461, 380, 140, 576, 577]</t>
  </si>
  <si>
    <t>- Target 282: reachable ✓  distance=4104.59 | path: [113, 433, 114, 756, 115, 522, 521, 130, 1, 549, 728, 672, 92, 683, 680, 729, 730, 561, 479, 704, 3, 376, 362, 4, 5, 6, 649, 339, 7, 8, 292, 9, 539, 599, 273, 309, 660, 88, 282]</t>
  </si>
  <si>
    <t>Unreachable targets: [529, 801]</t>
  </si>
  <si>
    <t>[WARN] Unreachable after risk+reopen: [529, 801]</t>
  </si>
  <si>
    <t>2025-10-21 13:45:20.147706: I tensorflow/stream_executor/cuda/cuda_blas.cc:1786] TensorFloat-32 will be used for the matrix multiplication. This will only be logged once.</t>
  </si>
  <si>
    <t>[TEST] veh=0 terminal reason=empty_home, loc=113, steps_since_delivery=30</t>
  </si>
  <si>
    <t>[TEST] veh=1 terminal reason=stall_vehicle, loc=114, steps_since_delivery=400</t>
  </si>
  <si>
    <t>Total shaped reward: -349.526 | deliveries=8 | backtracks=26</t>
  </si>
  <si>
    <t xml:space="preserve">  veh 0: end_loc=113, cap_left=0, delivered=5, distance=18653.13</t>
  </si>
  <si>
    <t xml:space="preserve">  route: [113, 655, 112, 502, 756, 115, 522, 521, 130, 1, 549, 728, 672, 626, 195, 247, 144, 233, 488, 486, 132, 202, 229, 74, 229, 202, 132, 485, 166, 125, 490, 203, 490, 125, 166, 208, 180, 208, 166, 485, 242, 161, 128, 214, 251, 156, 240, 164, 38, 36, 158, 141, 197, 643, 224, 244, 135, 121, 21, 25, 708, 25, 21, 22, 719, 720, 719, 23, 18, 639, 18, 17, 91, 681, 683, 680, 729, 730, 561, 479, 704, 3, 376, 362, 4, 5, 6, 649, 339, 7, 8, 292, 9, 539, 599, 273, 309, 660, 88, 282, 276, 592, 591, 592, 589, 590, 588, 286, 307, 587, 294, 290, 594, 602, 546, 596, 597, 310, 306, 290, 294, 587, 307, 286, 588, 287, 309, 273, 599, 539, 9, 292, 8, 7, 339, 649, 6, 5, 4, 362, 376, 3, 704, 699, 733, 13, 558, 16, 15, 642, 20, 224, 244, 253, 241, 188, 246, 176, 222, 686, 222, 194, 31, 693, 31, 194, 222, 686, 222, 176, 246, 188, 241, 253, 244, 224, 643, 197, 141, 158, 36, 38, 164, 240, 227, 257, 161, 242, 485, 132, 486, 488, 233, 144, 247, 195, 626, 666, 168, 137, 209, 377, 462, 461, 380, 140, 576, 577, 578, 62, 61, 607, 604, 60, 763, 79, 763, 60, 604, 607, 61, 62, 578, 577, 576, 140, 380, 461, 462, 377, 130, 521, 522, 115, 756, 114, 433, 113]</t>
  </si>
  <si>
    <t xml:space="preserve">  veh 1: end_loc=114, cap_left=2, delivered=3, distance=59357.93</t>
  </si>
  <si>
    <t xml:space="preserve">  route: [113, 655, 112, 502, 756, 115, 522, 521, 130, 377, 209, 137, 168, 666, 626, 672, 728, 549, 1, 654, 1, 130, 377, 462, 461, 380, 140, 576, 577, 578, 62, 61, 607, 606, 465, 466, 61, 62, 66, 64, 63, 614, 63, 578, 577, 576, 140, 380, 461, 462, 377, 130, 521, 522, 115, 756, 114, 433, 113, 655, 112, 755, 477, 754, 108, 100, 107, 99, 103, 105, 814, 98, 748, 747, 812, 747, 96, 95, 86, 611, 750, 749, 429, 418, 86, 611, 750, 749, 746, 80, 428, 403, 81, 425, 82, 390, 762, 761, 399, 390, 82, 491, 492, 491, 82, 425, 81, 403, 428, 80, 746, 749, 752, 679, 414, 412, 410, 416, 424, 113, 433, 114, 756, 502, 112, 655, 113, 433, 114, 756, 115, 522, 521, 130, 377, 462, 461, 489, 379, 489, 462, 377, 209, 137, 168, 666, 626, 672, 728, 549, 1, 130, 521, 522, 115, 756, 502, 112, 655, 113, 433, 114, 756, 502, 757, 758, 753, 759, 760, 754, 477, 755, 112, 655, 113, 424, 434, 417, 677, 417, 434, 427, 423, 410, 416, 424, 113, 433, 114, 756, 502, 112, 655, 113, 433, 114, 756, 115, 522, 521, 130, 377, 462, 461, 489, 379, 489, 462, 377, 209, 137, 168, 666, 626, 672, 728, 549, 1, 130, 521, 522, 115, 756, 502, 112, 655, 113, 433, 114, 756, 502, 757, 758, 753, 759, 760, 754, 477, 755, 112, 655, 113, 424, 434, 417, 677, 417, 434, 427, 423, 410, 416, 424, 113, 433, 114, 756, 502, 112, 655, 113, 433, 114, 756, 115, 522, 521, 130, 377, 462, 461, 489, 379, 489, 462, 377, 209, 137, 168, 666, 626, 672, 728, 549, 1, 130, 521, 522, 115, 756, 502, 112, 655, 113, 433, 114, 756, 502, 757, 758, 753, 759, 760, 754, 477, 755, 112, 655, 113, 424, 434, 417, 677, 417, 434, 427, 423, 410, 416, 424, 113, 433, 114, 756, 502, 112, 655, 113, 433, 114, 756, 115, 522, 521, 130, 377, 462, 461, 489, 379, 489, 462, 377, 209, 137, 168, 666, 626, 672, 728, 549, 1, 130, 521, 522, 115, 756, 502, 112, 655, 113, 433, 114, 756, 502, 757, 758, 753, 759, 760, 754, 477, 755, 112, 655, 113, 424, 434, 417, 677, 417, 434, 427, 423, 410, 416, 424, 113, 433, 114, 756, 502, 112, 655, 113, 433, 114, 756, 115, 522, 521, 130, 377, 462, 461, 489, 379, 489, 462, 377, 209, 137, 168, 666, 626, 672, 728, 549, 1, 130, 521, 522, 115, 756, 502, 112, 655, 113, 433, 114, 756, 502, 757, 758, 753, 759, 760, 754, 477, 755, 112, 655, 113, 424, 434, 417, 677, 417, 434, 427, 423, 410, 416, 424, 113, 433, 114, 756, 502, 112, 655, 113, 433, 114, 756, 115, 522, 521, 130, 377, 462, 461, 489, 379, 489, 462, 377, 209, 137, 168, 666, 626, 672, 728, 549, 1, 130, 521, 522, 115, 756, 502, 112, 655, 113, 433, 114]</t>
  </si>
  <si>
    <t>[SCENARIO 17] Depot=113</t>
  </si>
  <si>
    <t>[229, 244, 282, 529, 577, 607, 686, 748, 762, 801]</t>
  </si>
  <si>
    <t>[4, 3]</t>
  </si>
  <si>
    <t>[464]</t>
  </si>
  <si>
    <t>[5, 5]</t>
  </si>
  <si>
    <t>[529, 801]</t>
  </si>
  <si>
    <t>[SCENARIO 2] demands=[135, 275, 316, 321, 341, 464, 516] | total=7 | capacities=[4, 3]</t>
  </si>
  <si>
    <t>[RISK@try0] r=0.3843 | closed_before=465 | closed_after=429 | open_ratio=63.6%</t>
  </si>
  <si>
    <t>[Graph change] nonzero edges changed: 858. Recompute SP ...</t>
  </si>
  <si>
    <t>- Target 464: UNREACHABLE ✗ | out_deg=3 in_deg=3</t>
  </si>
  <si>
    <t>- Target 316: reachable ✓  distance=1746.59 | path: [267, 282, 88, 660, 309, 273, 599, 539, 9, 292, 8, 7, 339, 649, 6, 5, 4, 362, 376, 3, 704, 479, 561, 2, 503, 349, 653, 364, 316]</t>
  </si>
  <si>
    <t>- Target 321: reachable ✓  distance=580.42 | path: [267, 593, 276, 592, 591, 307, 286, 548, 52, 51, 50, 285, 49, 517, 48, 44, 638, 321]</t>
  </si>
  <si>
    <t>- Target 341: reachable ✓  distance=2105.04 | path: [267, 282, 88, 660, 309, 273, 599, 539, 9, 292, 8, 7, 339, 649, 6, 5, 4, 362, 376, 3, 704, 479, 561, 2, 503, 349, 653, 364, 345, 627, 365, 280, 348, 344, 341]</t>
  </si>
  <si>
    <t>- Target 275: reachable ✓  distance=2436.27 | path: [267, 282, 88, 660, 309, 273, 599, 539, 9, 292, 8, 7, 339, 649, 6, 5, 4, 362, 376, 3, 704, 479, 561, 2, 603, 93, 275]</t>
  </si>
  <si>
    <t>- Target 516: reachable ✓  distance=655.16 | path: [267, 593, 310, 306, 290, 294, 514, 542, 513, 291, 533, 569, 531, 288, 529, 528, 516]</t>
  </si>
  <si>
    <t>- Target 135: reachable ✓  distance=1394.67 | path: [267, 593, 276, 592, 591, 307, 286, 548, 52, 51, 50, 285, 49, 517, 48, 44, 638, 321, 53, 302, 636, 635, 20, 224, 244, 135]</t>
  </si>
  <si>
    <t>Unreachable targets: [464]</t>
  </si>
  <si>
    <t>[WARN] Unreachable after risk+reopen: [464]</t>
  </si>
  <si>
    <t>[TEST] veh=0 terminal reason=empty_home, loc=267, steps_since_delivery=28</t>
  </si>
  <si>
    <t>[TEST] veh=1 terminal reason=stall_vehicle, loc=592, steps_since_delivery=400</t>
  </si>
  <si>
    <t>Total shaped reward: -153.318 | deliveries=6 | backtracks=11</t>
  </si>
  <si>
    <t xml:space="preserve">  veh 0: end_loc=267, cap_left=0, delivered=4, distance=7607.41</t>
  </si>
  <si>
    <t xml:space="preserve">  route: [267, 282, 88, 589, 590, 588, 286, 548, 52, 513, 291, 533, 569, 531, 288, 529, 528, 516, 736, 516, 528, 529, 288, 582, 296, 582, 288, 529, 528, 516, 736, 516, 528, 529, 288, 531, 569, 532, 647, 49, 517, 48, 44, 638, 321, 53, 302, 636, 635, 20, 642, 157, 19, 35, 158, 141, 197, 643, 224, 244, 135, 121, 21, 25, 708, 25, 21, 22, 719, 720, 719, 23, 18, 17, 12, 14, 11, 557, 632, 733, 699, 704, 479, 561, 2, 503, 349, 653, 364, 316, 364, 653, 349, 503, 2, 561, 479, 704, 3, 376, 362, 4, 5, 6, 649, 339, 7, 8, 292, 9, 539, 599, 273, 309, 660, 88, 282, 267]</t>
  </si>
  <si>
    <t xml:space="preserve">  veh 1: end_loc=592, cap_left=1, delivered=2, distance=25799.30</t>
  </si>
  <si>
    <t xml:space="preserve">  route: [267, 282, 88, 589, 590, 588, 286, 548, 52, 513, 291, 547, 291, 533, 569, 532, 647, 49, 285, 50, 51, 52, 548, 286, 588, 287, 309, 273, 599, 539, 9, 292, 8, 7, 339, 649, 6, 5, 4, 362, 376, 3, 704, 479, 561, 2, 503, 349, 653, 364, 345, 627, 365, 280, 348, 344, 341, 356, 498, 500, 373, 631, 366, 346, 366, 631, 501, 373, 500, 334, 355, 369, 280, 365, 627, 345, 364, 653, 349, 503, 2, 603, 93, 275, 568, 549, 568, 667, 101, 493, 618, 111, 618, 493, 524, 525, 624, 525, 524, 493, 101, 667, 568, 275, 93, 603, 2, 561, 479, 704, 3, 376, 362, 4, 5, 6, 649, 339, 7, 8, 292, 9, 539, 599, 273, 309, 660, 88,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592, 276, 282, 267, 593, 310, 306, 290, 294, 514, 542, 513, 52, 548, 286, 307, 591, 592]</t>
  </si>
  <si>
    <t>[SCENARIO 18] Depot=267</t>
  </si>
  <si>
    <t>[135, 275, 316, 321, 341, 464, 516]</t>
  </si>
  <si>
    <t>--- [SEGMENT SNAPSHOT] FINAL ---</t>
  </si>
  <si>
    <t>=== ROUTE SEGMENTS SUMMARY ===</t>
  </si>
  <si>
    <t>[veh=0]</t>
  </si>
  <si>
    <t>[veh=1]</t>
  </si>
  <si>
    <t>[veh=2]</t>
  </si>
  <si>
    <t>[SCENARIO 1] Depot=313</t>
  </si>
  <si>
    <t>[SCENARIO 1] demands=[494, 495, 529, 604, 607, 748] | total=6 | capacities=[2, 2, 2]</t>
  </si>
  <si>
    <t>=== DEPREM#1 — initial ===</t>
  </si>
  <si>
    <t>[RISK@try0] r=0.4671 | closed_before=138 | closed_after=138 | reopened=0 | open_ratio=88.3%</t>
  </si>
  <si>
    <t>[Graph change] nonzero edges changed: 276 (r≈0.467). Recompute SP ...</t>
  </si>
  <si>
    <t>=== DEPREM#1 (EPIZOT BAŞI) RAPOR ===</t>
  </si>
  <si>
    <t>Kapanan yol adedi (undirected): 138 | Açıklık oranı: 88.3%</t>
  </si>
  <si>
    <t>Kapanan yollar (i&lt;j): [(3, 555), (7, 354), (8, 323), (10, 42), (10, 557), (13, 16), (19, 41), (24, 640), (24, 721), (25, 217), (30, 695), (32, 550), (33, 575), (39, 133), (43, 44), (48, 638), (52, 548), (53, 637), (54, 55), (59, 384), (67, 79), (68, 69), (69, 215), (71, 484), (78, 816), (80, 428), (84, 122), (87, 676), (90, 634), (92, 683), (93, 603), (93, 728), (94, 746), (105, 106), (108, 477), (114, 433), (116, 625), (118, 235), (118, 265), (119, 142), (119, 201), (120, 162), (120, 481), (131, 150), (132, 486), (136, 170), (137, 170), (143, 177), (145, 148), (147, 710), (153, 154), (166, 171), (167, 675), (172, 186), (178, 206), (179, 193), (180, 264), (192, 248), (194, 692), (201, 726), (221, 232), (223, 261), (226, 487), (228, 238), (234, 250), (249, 665), (251, 264), (260, 676), (266, 512), (270, 278), (272, 304), (274, 300), (283, 308), (284, 318), (288, 529), (294, 514), (296, 320), (306, 587), (311, 322), (316, 364), (317, 528), (320, 647), (325, 540), (342, 367), (345, 364), (357, 361), (362, 375), (363, 371), (386, 571), (387, 400), (387, 818), (392, 400), (411, 427), (413, 416), (413, 424), (414, 431), (416, 427), (417, 419), (433, 434), (441, 444), (447, 456), (450, 451), (466, 613), (467, 473), (470, 471), (475, 613), (479, 561), (479, 704), (494, 620), (495, 565), (507, 508), (509, 511), (526, 671), (528, 529), (534, 535), (534, 537), (554, 556), (555, 632), (563, 566), (564, 630), (582, 735), (590, 591), (594, 595), (600, 601), (614, 615), (620, 621), (639, 641), (656, 661), (657, 661), (712, 713), (713, 715), (753, 760), (776, 778), (783, 795), (786, 797), (796, 797), (799, 800), (803, 804)]</t>
  </si>
  <si>
    <t>- Target 748: reachable ✓  distance=3764.88 | path: [313, 503, 2, 561, 730, 729, 34, 732, 185, 243, 236, 203, 490, 482, 616, 247, 195, 626, 666, 168, 137, 209, 377, 130, 521, 522, 115, 756, 502, 112, 755, 477, 754, 108, 100, 107, 99, 103, 98, 748]</t>
  </si>
  <si>
    <t>- Target 607: reachable ✓  distance=1967.27 | path: [313, 503, 2, 561, 730, 729, 34, 732, 212, 216, 240, 164, 37, 206, 189, 177, 254, 205, 150, 127, 172, 472, 126, 84, 437, 470, 83, 483, 464, 606, 607]</t>
  </si>
  <si>
    <t>- Target 604: reachable ✓  distance=1985.40 | path: [313, 503, 2, 561, 730, 729, 34, 732, 212, 216, 240, 164, 37, 206, 189, 177, 254, 205, 150, 127, 172, 472, 126, 84, 437, 470, 83, 483, 464, 606, 607, 604]</t>
  </si>
  <si>
    <t>- Target 495: reachable ✓  distance=1251.55 | path: [313, 503, 349, 346, 366, 631, 373, 500, 498, 319, 305, 669, 564, 563, 629, 495]</t>
  </si>
  <si>
    <t>- Target 494: reachable ✓  distance=3216.50 | path: [313, 503, 349, 346, 366, 631, 373, 500, 498, 319, 305, 669, 564, 563, 565, 630, 275, 568, 667, 623, 496, 525, 524, 493, 618, 526, 619, 497, 494]</t>
  </si>
  <si>
    <t>- Target 529: reachable ✓  distance=1336.28 | path: [313, 343, 326, 374, 368, 350, 478, 3, 376, 362, 4, 5, 6, 649, 339, 7, 8, 45, 512, 46, 47, 48, 517, 49, 647, 532, 569, 301, 530, 584, 583, 529]</t>
  </si>
  <si>
    <t>--- [SEGMENT SNAPSHOT] EQ#1 (initial) ---</t>
  </si>
  <si>
    <t>[veh=0] start=313 -&gt; end=313 | nodes=[313] | edges=[] | seg_dist=0.00 | cum_dist=0.00</t>
  </si>
  <si>
    <t>[veh=1] start=313 -&gt; end=313 | nodes=[313] | edges=[] | seg_dist=0.00 | cum_dist=0.00</t>
  </si>
  <si>
    <t>[veh=2] start=313 -&gt; end=313 | nodes=[313] | edges=[] | seg_dist=0.00 | cum_dist=0.00</t>
  </si>
  <si>
    <t>[ACTION] Araçlar eşzamanlı olarak rotaya çıkıyor.</t>
  </si>
  <si>
    <t>=== DEPREM#1 (ONLINE) RAPOR ===</t>
  </si>
  <si>
    <t>step=50 | hedef_açıklık≈88.0% | r≈0.430 | açık_oranı=83.2% | değişen_hücre=120</t>
  </si>
  <si>
    <t>Bu olayda kapanan yol adedi (undirected): 60</t>
  </si>
  <si>
    <t>Kapanan yollar (i&lt;j): [(0, 664), (5, 556), (31, 32), (72, 124), (73, 76), (76, 235), (81, 403), (82, 390), (90, 603), (93, 319), (94, 766), (95, 725), (96, 97), (102, 104), (102, 812), (110, 618), (110, 671), (114, 756), (115, 419), (122, 198), (125, 192), (128, 264), (135, 217), (159, 167), (179, 220), (188, 220), (210, 236), (245, 260), (268, 270), (271, 329), (279, 628), (284, 545), (296, 734), (318, 674), (327, 351), (334, 501), (341, 344), (351, 375), (352, 361), (356, 360), (381, 386), (382, 383), (400, 401), (402, 579), (442, 448), (445, 450), (455, 457), (483, 484), (573, 695), (580, 581), (585, 586), (621, 661), (635, 636), (635, 642), (639, 640), (767, 768), (768, 770), (779, 785), (781, 784), (788, 798)]</t>
  </si>
  <si>
    <t>--- [SEGMENT SNAPSHOT] EQ#1 (r≈0.430) ---</t>
  </si>
  <si>
    <t>[veh=0] start=313 -&gt; end=626 | nodes=[313, 503, 2, 561, 730, 729, 34, 732, 185, 243, 236, 203, 490, 482, 616, 247, 195, 626] | edges=[(313, 503), (503, 2), (2, 561), (561, 730), (730, 729), (729, 34), (34, 732), (732, 185), (185, 243), (243, 236), (236, 203), (203, 490), (490, 482), (482, 616), (616, 247), (247, 195), (195, 626)] | seg_dist=1301.84 | cum_dist=1301.84</t>
  </si>
  <si>
    <t>[veh=1] start=313 -&gt; end=626 | nodes=[313, 503, 2, 561, 730, 729, 34, 732, 185, 243, 236, 203, 490, 482, 616, 247, 195, 626] | edges=[(313, 503), (503, 2), (2, 561), (561, 730), (730, 729), (729, 34), (34, 732), (732, 185), (185, 243), (243, 236), (236, 203), (203, 490), (490, 482), (482, 616), (616, 247), (247, 195), (195, 626)] | seg_dist=1301.84 | cum_dist=1301.84</t>
  </si>
  <si>
    <t>[veh=2] start=313 -&gt; end=195 | nodes=[313, 503, 2, 561, 730, 729, 34, 732, 185, 243, 236, 203, 490, 482, 616, 247, 195] | edges=[(313, 503), (503, 2), (2, 561), (561, 730), (730, 729), (729, 34), (34, 732), (732, 185), (185, 243), (243, 236), (236, 203), (203, 490), (490, 482), (482, 616), (616, 247), (247, 195)] | seg_dist=1195.38 | cum_dist=1195.38</t>
  </si>
  <si>
    <t>=== DEPREM#2 (ONLINE) RAPOR ===</t>
  </si>
  <si>
    <t>step=120 | hedef_açıklık≈92.0% | r≈0.455 | açık_oranı=83.1% | değişen_hücre=2</t>
  </si>
  <si>
    <t>Bu olayda kapanan yol adedi (undirected): 1</t>
  </si>
  <si>
    <t>Kapanan yollar (i&lt;j): [(672, 728)]</t>
  </si>
  <si>
    <t>--- [SEGMENT SNAPSHOT] EQ#2 (r≈0.455) ---</t>
  </si>
  <si>
    <t>[veh=0] start=626 -&gt; end=117 | nodes=[626, 666, 669, 564, 563, 629, 495, 441, 442, 450, 442, 441, 495, 629, 563, 564, 669, 666, 168, 211, 196, 223, 154, 117] | edges=[(626, 666), (666, 669), (669, 564), (564, 563), (563, 629), (629, 495), (495, 441), (441, 442), (442, 450), (450, 442), (442, 441), (441, 495), (495, 629), (629, 563), (563, 564), (564, 669), (669, 666), (666, 168), (168, 211), (211, 196), (196, 223), (223, 154), (154, 117)] | seg_dist=3711.48 | cum_dist=5013.31</t>
  </si>
  <si>
    <t>[veh=1] start=626 -&gt; end=368 | nodes=[626, 666, 669, 564, 563, 629, 567, 562, 499, 305, 319, 498, 500, 373, 631, 366, 346, 349, 503, 313, 343, 326, 374, 368] | edges=[(626, 666), (666, 669), (669, 564), (564, 563), (563, 629), (629, 567), (567, 562), (562, 499), (499, 305), (305, 319), (319, 498), (498, 500), (500, 373), (373, 631), (631, 366), (366, 346), (346, 349), (349, 503), (503, 313), (313, 343), (343, 326), (326, 374), (374, 368)] | seg_dist=1781.48 | cum_dist=3083.32</t>
  </si>
  <si>
    <t>[veh=2] start=195 -&gt; end=368 | nodes=[195, 626, 666, 669, 564, 563, 629, 567, 562, 499, 305, 319, 498, 500, 373, 631, 366, 346, 349, 503, 313, 343, 326, 374, 368] | edges=[(195, 626), (626, 666), (666, 669), (669, 564), (564, 563), (563, 629), (629, 567), (567, 562), (562, 499), (499, 305), (305, 319), (319, 498), (498, 500), (500, 373), (373, 631), (631, 366), (366, 346), (346, 349), (349, 503), (503, 313), (313, 343), (343, 326), (326, 374), (374, 368)] | seg_dist=1887.94 | cum_dist=3083.32</t>
  </si>
  <si>
    <t>[TEST] veh=0 terminal reason=empty_home, loc=313, steps_since_delivery=8</t>
  </si>
  <si>
    <t>[TEST] veh=1 terminal reason=empty_home, loc=313, steps_since_delivery=13</t>
  </si>
  <si>
    <t>[TEST] veh=2 terminal reason=solved, loc=313, steps_since_delivery=28</t>
  </si>
  <si>
    <t>[veh=0] start=117 -&gt; end=313 | nodes=[117, 120, 123, 576, 577, 578, 62, 61, 607, 606, 464, 483, 83, 470, 437, 84, 126, 472, 172, 127, 150, 205, 254, 177, 189, 206, 37, 164, 240, 216, 212, 732, 34, 729, 730, 561, 2, 503, 313] | edges=[(117, 120), (120, 123), (123, 576), (576, 577), (577, 578), (578, 62), (62, 61), (61, 607), (607, 606), (606, 464), (464, 483), (483,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313)] | seg_dist=2826.70 | cum_dist=7840.01</t>
  </si>
  <si>
    <t>[veh=1] start=368 -&gt; end=313 | nodes=[368, 350, 478, 3, 376, 362, 4, 5, 6, 649, 340, 645, 617, 644, 375, 644, 340, 649, 339, 7, 8, 45, 512, 46, 47, 48, 517, 49, 647, 532, 569, 301, 530, 584, 583, 529, 583, 527, 673, 585, 530, 301, 325, 547, 291, 533, 532, 647, 49, 517, 48, 44, 638, 321, 53, 302, 636, 14, 15, 157, 737, 643, 197, 141, 207, 175, 178, 183, 189, 177, 254, 205, 150, 127, 172, 472, 126, 84, 437, 470, 83, 483, 464, 606, 607, 604, 605, 66, 62, 61, 466, 465, 606, 464, 483, 83, 470, 437, 84, 126, 472, 172, 127, 150, 205, 254, 177, 189, 206, 37, 164, 240, 216, 212, 732, 34, 729, 730, 561, 2, 503, 313] | edges=[(368, 350), (350, 478), (478, 3), (3, 376), (376, 362), (362, 4), (4, 5), (5, 6), (6, 649), (649, 340), (340, 645), (645, 617), (617, 644), (644, 375), (375, 644), (644, 340), (340, 649), (649, 339), (339, 7), (7, 8), (8, 45), (45, 512), (512, 46), (46, 47), (47, 48), (48, 517), (517, 49), (49, 647), (647, 532), (532, 569), (569, 301), (301, 530), (530, 584), (584, 583), (583, 529), (529, 583), (583, 527), (527, 673), (673, 585), (585, 530), (530, 301), (301, 325), (325, 547), (547, 291), (291, 533), (533, 532), (532, 647), (647,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604), (604, 605), (605, 66), (66, 62), (62, 61), (61, 466), (466, 465), (465, 606), (606, 464), (464, 483), (483,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313)] | seg_dist=6890.39 | cum_dist=9973.71</t>
  </si>
  <si>
    <t>[veh=2] start=368 -&gt; end=313 | nodes=[368, 350, 478, 3, 376, 362, 4, 5, 6, 649, 340, 645, 617, 644, 375, 644, 340, 649, 339, 7, 8, 45, 512, 46, 47, 48, 517, 49, 647, 532, 569, 301, 530, 584, 583, 529, 583, 527, 673, 585, 530, 301, 325, 547, 291, 533, 532, 647, 49, 517, 48, 44, 638, 321, 53, 302, 636, 14, 15, 157, 737, 643, 197, 141, 207, 175, 178, 183, 189, 177, 254, 205, 150, 127, 172, 472, 126, 84, 437, 470, 83, 483, 464, 606, 607, 61, 62, 66, 64, 63, 578, 577, 576, 140, 380, 461, 462, 377, 130, 521, 522, 115, 756, 502, 112, 755, 477, 754, 108, 100, 107, 99, 103, 98, 748, 96, 747, 812, 611, 86, 95, 96, 748, 98, 814, 105, 103, 99, 107, 100, 108, 754, 477, 755, 112, 502, 756, 115, 522, 521, 130, 1, 549, 568, 667, 623, 496, 525, 524, 493, 618, 526, 619, 497, 494, 497, 619, 526, 618, 493, 524, 525, 496, 623, 667, 568, 275, 630, 565, 563, 564, 669, 305, 319, 498, 500, 373, 631, 366, 346, 349, 503, 313] | edges=[(368, 350), (350, 478), (478, 3), (3, 376), (376, 362), (362, 4), (4, 5), (5, 6), (6, 649), (649, 340), (340, 645), (645, 617), (617, 644), (644, 375), (375, 644), (644, 340), (340, 649), (649, 339), (339, 7), (7, 8), (8, 45), (45, 512), (512, 46), (46, 47), (47, 48), (48, 517), (517, 49), (49, 647), (647, 532), (532, 569), (569, 301), (301, 530), (530, 584), (584, 583), (583, 529), (529, 583), (583, 527), (527, 673), (673, 585), (585, 530), (530, 301), (301, 325), (325, 547), (547, 291), (291, 533), (533, 532), (532, 647), (647,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812), (812, 611), (611, 86), (86, 95), (95, 96), (96, 748), (748, 98), (98, 814), (814, 105), (105, 103), (103, 99), (99, 107), (107, 100), (100, 108), (108, 754), (754, 477), (477, 755), (755, 112), (112, 502), (502, 756), (756, 115), (115, 522), (522, 521), (521, 130), (130, 1), (1, 549), (549, 568), (568, 667), (667, 623), (623, 496), (496, 525), (525, 524), (524, 493), (493, 618), (618, 526), (526, 619), (619, 497), (497, 494), (494, 497), (497, 619), (619, 526), (526, 618), (618, 493), (493, 524), (524, 525), (525, 496), (496, 623), (623, 667), (667, 568), (568, 275), (275, 630), (630, 565), (565, 563), (563, 564), (564, 669), (669, 305), (305, 319), (319, 498), (498, 500), (500, 373), (373, 631), (631, 366), (366, 346), (346, 349), (349, 503), (503, 313)] | seg_dist=16233.65 | cum_dist=19316.97</t>
  </si>
  <si>
    <t>Total shaped reward: -44.186 | deliveries=6 | backtracks=6</t>
  </si>
  <si>
    <t xml:space="preserve">  veh 0: end_loc=313, cap_left=0, delivered=2, distance=7840.01</t>
  </si>
  <si>
    <t xml:space="preserve">  route (full nodes): [313, 503, 2, 561, 730, 729, 34, 732, 185, 243, 236, 203, 490, 482, 616, 247, 195, 626, 666, 669, 564, 563, 629, 495, 441, 442, 450, 442, 441, 495, 629, 563, 564, 669, 666, 168, 211, 196, 223, 154, 117, 120, 123, 576, 577, 578, 62, 61, 607, 606, 464, 483, 83, 470, 437, 84, 126, 472, 172, 127, 150, 205, 254, 177, 189, 206, 37, 164, 240, 216, 212, 732, 34, 729, 730, 561, 2, 503, 313]</t>
  </si>
  <si>
    <t xml:space="preserve">  route (full edges): [(313, 503), (503, 2), (2, 561), (561, 730), (730, 729), (729, 34), (34, 732), (732, 185), (185, 243), (243, 236), (236, 203), (203, 490), (490, 482), (482, 616), (616, 247), (247, 195), (195, 626), (626, 666), (666, 669), (669, 564), (564, 563), (563, 629), (629, 495), (495, 441), (441, 442), (442, 450), (450, 442), (442, 441), (441, 495), (495, 629), (629, 563), (563, 564), (564, 669), (669, 666), (666, 168), (168, 211), (211, 196), (196, 223), (223, 154), (154, 117), (117, 120), (120, 123), (123, 576), (576, 577), (577, 578), (578, 62), (62, 61), (61, 607), (607, 606), (606, 464), (464, 483), (483,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313)]</t>
  </si>
  <si>
    <t xml:space="preserve">  veh 1: end_loc=313, cap_left=0, delivered=2, distance=9973.71</t>
  </si>
  <si>
    <t xml:space="preserve">  route (full nodes): [313, 503, 2, 561, 730, 729, 34, 732, 185, 243, 236, 203, 490, 482, 616, 247, 195, 626, 666, 669, 564, 563, 629, 567, 562, 499, 305, 319, 498, 500, 373, 631, 366, 346, 349, 503, 313, 343, 326, 374, 368, 350, 478, 3, 376, 362, 4, 5, 6, 649, 340, 645, 617, 644, 375, 644, 340, 649, 339, 7, 8, 45, 512, 46, 47, 48, 517, 49, 647, 532, 569, 301, 530, 584, 583, 529, 583, 527, 673, 585, 530, 301, 325, 547, 291, 533, 532, 647, 49, 517, 48, 44, 638, 321, 53, 302, 636, 14, 15, 157, 737, 643, 197, 141, 207, 175, 178, 183, 189, 177, 254, 205, 150, 127, 172, 472, 126, 84, 437, 470, 83, 483, 464, 606, 607, 604, 605, 66, 62, 61, 466, 465, 606, 464, 483, 83, 470, 437, 84, 126, 472, 172, 127, 150, 205, 254, 177, 189, 206, 37, 164, 240, 216, 212, 732, 34, 729, 730, 561, 2, 503, 313]</t>
  </si>
  <si>
    <t xml:space="preserve">  route (full edges): [(313, 503), (503, 2), (2, 561), (561, 730), (730, 729), (729, 34), (34, 732), (732, 185), (185, 243), (243, 236), (236, 203), (203, 490), (490, 482), (482, 616), (616, 247), (247, 195), (195, 626), (626, 666), (666, 669), (669, 564), (564, 563), (563, 629), (629, 567), (567, 562), (562, 499), (499, 305), (305, 319), (319, 498), (498, 500), (500, 373), (373, 631), (631, 366), (366, 346), (346, 349), (349, 503), (503, 313), (313, 343), (343, 326), (326, 374), (374, 368), (368, 350), (350, 478), (478, 3), (3, 376), (376, 362), (362, 4), (4, 5), (5, 6), (6, 649), (649, 340), (340, 645), (645, 617), (617, 644), (644, 375), (375, 644), (644, 340), (340, 649), (649, 339), (339, 7), (7, 8), (8, 45), (45, 512), (512, 46), (46, 47), (47, 48), (48, 517), (517, 49), (49, 647), (647, 532), (532, 569), (569, 301), (301, 530), (530, 584), (584, 583), (583, 529), (529, 583), (583, 527), (527, 673), (673, 585), (585, 530), (530, 301), (301, 325), (325, 547), (547, 291), (291, 533), (533, 532), (532, 647), (647,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604), (604, 605), (605, 66), (66, 62), (62, 61), (61, 466), (466, 465), (465, 606), (606, 464), (464, 483), (483,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313)]</t>
  </si>
  <si>
    <t xml:space="preserve">  veh 2: end_loc=313, cap_left=0, delivered=2, distance=19316.97</t>
  </si>
  <si>
    <t xml:space="preserve">  route (full nodes): [313, 503, 2, 561, 730, 729, 34, 732, 185, 243, 236, 203, 490, 482, 616, 247, 195, 626, 666, 669, 564, 563, 629, 567, 562, 499, 305, 319, 498, 500, 373, 631, 366, 346, 349, 503, 313, 343, 326, 374, 368, 350, 478, 3, 376, 362, 4, 5, 6, 649, 340, 645, 617, 644, 375, 644, 340, 649, 339, 7, 8, 45, 512, 46, 47, 48, 517, 49, 647, 532, 569, 301, 530, 584, 583, 529, 583, 527, 673, 585, 530, 301, 325, 547, 291, 533, 532, 647, 49, 517, 48, 44, 638, 321, 53, 302, 636, 14, 15, 157, 737, 643, 197, 141, 207, 175, 178, 183, 189, 177, 254, 205, 150, 127, 172, 472, 126, 84, 437, 470, 83, 483, 464, 606, 607, 61, 62, 66, 64, 63, 578, 577, 576, 140, 380, 461, 462, 377, 130, 521, 522, 115, 756, 502, 112, 755, 477, 754, 108, 100, 107, 99, 103, 98, 748, 96, 747, 812, 611, 86, 95, 96, 748, 98, 814, 105, 103, 99, 107, 100, 108, 754, 477, 755, 112, 502, 756, 115, 522, 521, 130, 1, 549, 568, 667, 623, 496, 525, 524, 493, 618, 526, 619, 497, 494, 497, 619, 526, 618, 493, 524, 525, 496, 623, 667, 568, 275, 630, 565, 563, 564, 669, 305, 319, 498, 500, 373, 631, 366, 346, 349, 503, 313]</t>
  </si>
  <si>
    <t xml:space="preserve">  route (full edges): [(313, 503), (503, 2), (2, 561), (561, 730), (730, 729), (729, 34), (34, 732), (732, 185), (185, 243), (243, 236), (236, 203), (203, 490), (490, 482), (482, 616), (616, 247), (247, 195), (195, 626), (626, 666), (666, 669), (669, 564), (564, 563), (563, 629), (629, 567), (567, 562), (562, 499), (499, 305), (305, 319), (319, 498), (498, 500), (500, 373), (373, 631), (631, 366), (366, 346), (346, 349), (349, 503), (503, 313), (313, 343), (343, 326), (326, 374), (374, 368), (368, 350), (350, 478), (478, 3), (3, 376), (376, 362), (362, 4), (4, 5), (5, 6), (6, 649), (649, 340), (340, 645), (645, 617), (617, 644), (644, 375), (375, 644), (644, 340), (340, 649), (649, 339), (339, 7), (7, 8), (8, 45), (45, 512), (512, 46), (46, 47), (47, 48), (48, 517), (517, 49), (49, 647), (647, 532), (532, 569), (569, 301), (301, 530), (530, 584), (584, 583), (583, 529), (529, 583), (583, 527), (527, 673), (673, 585), (585, 530), (530, 301), (301, 325), (325, 547), (547, 291), (291, 533), (533, 532), (532, 647), (647,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812), (812, 611), (611, 86), (86, 95), (95, 96), (96, 748), (748, 98), (98, 814), (814, 105), (105, 103), (103, 99), (99, 107), (107, 100), (100, 108), (108, 754), (754, 477), (477, 755), (755, 112), (112, 502), (502, 756), (756, 115), (115, 522), (522, 521), (521, 130), (130, 1), (1, 549), (549, 568), (568, 667), (667, 623), (623, 496), (496, 525), (525, 524), (524, 493), (493, 618), (618, 526), (526, 619), (619, 497), (497, 494), (494, 497), (497, 619), (619, 526), (526, 618), (618, 493), (493, 524), (524, 525), (525, 496), (496, 623), (623, 667), (667, 568), (568, 275), (275, 630), (630, 565), (565, 563), (563, 564), (564, 669), (669, 305), (305, 319), (319, 498), (498, 500), (500, 373), (373, 631), (631, 366), (366, 346), (346, 349), (349, 503), (503, 313)]</t>
  </si>
  <si>
    <t xml:space="preserve">  seg#1 label=EQ#1 (initial) | end_step=0 | dist=0.00 | cum=0.00 | path=[313] | edges=[]</t>
  </si>
  <si>
    <t xml:space="preserve">  seg#2 label=EQ#1 (r≈0.430) | end_step=50 | dist=1301.84 | cum=1301.84 | path=[313, 503, 2, 561, 730, 729, 34, 732, 185, 243, 236, 203, 490, 482, 616, 247, 195, 626] | edges=[(313, 503), (503, 2), (2, 561), (561, 730), (730, 729), (729, 34), (34, 732), (732, 185), (185, 243), (243, 236), (236, 203), (203, 490), (490, 482), (482, 616), (616, 247), (247, 195), (195, 626)]</t>
  </si>
  <si>
    <t xml:space="preserve">  seg#3 label=EQ#2 (r≈0.455) | end_step=120 | dist=3711.48 | cum=5013.31 | path=[626, 666, 669, 564, 563, 629, 495, 441, 442, 450, 442, 441, 495, 629, 563, 564, 669, 666, 168, 211, 196, 223, 154, 117] | edges=[(626, 666), (666, 669), (669, 564), (564, 563), (563, 629), (629, 495), (495, 441), (441, 442), (442, 450), (450, 442), (442, 441), (441, 495), (495, 629), (629, 563), (563, 564), (564, 669), (669, 666), (666, 168), (168, 211), (211, 196), (196, 223), (223, 154), (154, 117)]</t>
  </si>
  <si>
    <t xml:space="preserve">  seg#4 label=FINAL | end_step=461 | dist=2826.70 | cum=7840.01 | path=[117, 120, 123, 576, 577, 578, 62, 61, 607, 606, 464, 483, 83, 470, 437, 84, 126, 472, 172, 127, 150, 205, 254, 177, 189, 206, 37, 164, 240, 216, 212, 732, 34, 729, 730, 561, 2, 503, 313] | edges=[(117, 120), (120, 123), (123, 576), (576, 577), (577, 578), (578, 62), (62, 61), (61, 607), (607, 606), (606, 464), (464, 483), (483,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313)]</t>
  </si>
  <si>
    <t xml:space="preserve">  seg#3 label=EQ#2 (r≈0.455) | end_step=120 | dist=1781.48 | cum=3083.32 | path=[626, 666, 669, 564, 563, 629, 567, 562, 499, 305, 319, 498, 500, 373, 631, 366, 346, 349, 503, 313, 343, 326, 374, 368] | edges=[(626, 666), (666, 669), (669, 564), (564, 563), (563, 629), (629, 567), (567, 562), (562, 499), (499, 305), (305, 319), (319, 498), (498, 500), (500, 373), (373, 631), (631, 366), (366, 346), (346, 349), (349, 503), (503, 313), (313, 343), (343, 326), (326, 374), (374, 368)]</t>
  </si>
  <si>
    <t xml:space="preserve">  seg#4 label=FINAL | end_step=461 | dist=6890.39 | cum=9973.71 | path=[368, 350, 478, 3, 376, 362, 4, 5, 6, 649, 340, 645, 617, 644, 375, 644, 340, 649, 339, 7, 8, 45, 512, 46, 47, 48, 517, 49, 647, 532, 569, 301, 530, 584, 583, 529, 583, 527, 673, 585, 530, 301, 325, 547, 291, 533, 532, 647, 49, 517, 48, 44, 638, 321, 53, 302, 636, 14, 15, 157, 737, 643, 197, 141, 207, 175, 178, 183, 189, 177, 254, 205, 150, 127, 172, 472, 126, 84, 437, 470, 83, 483, 464, 606, 607, 604, 605, 66, 62, 61, 466, 465, 606, 464, 483, 83, 470, 437, 84, 126, 472, 172, 127, 150, 205, 254, 177, 189, 206, 37, 164, 240, 216, 212, 732, 34, 729, 730, 561, 2, 503, 313] | edges=[(368, 350), (350, 478), (478, 3), (3, 376), (376, 362), (362, 4), (4, 5), (5, 6), (6, 649), (649, 340), (340, 645), (645, 617), (617, 644), (644, 375), (375, 644), (644, 340), (340, 649), (649, 339), (339, 7), (7, 8), (8, 45), (45, 512), (512, 46), (46, 47), (47, 48), (48, 517), (517, 49), (49, 647), (647, 532), (532, 569), (569, 301), (301, 530), (530, 584), (584, 583), (583, 529), (529, 583), (583, 527), (527, 673), (673, 585), (585, 530), (530, 301), (301, 325), (325, 547), (547, 291), (291, 533), (533, 532), (532, 647), (647,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604), (604, 605), (605, 66), (66, 62), (62, 61), (61, 466), (466, 465), (465, 606), (606, 464), (464, 483), (483,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313)]</t>
  </si>
  <si>
    <t xml:space="preserve">  seg#2 label=EQ#1 (r≈0.430) | end_step=50 | dist=1195.38 | cum=1195.38 | path=[313, 503, 2, 561, 730, 729, 34, 732, 185, 243, 236, 203, 490, 482, 616, 247, 195] | edges=[(313, 503), (503, 2), (2, 561), (561, 730), (730, 729), (729, 34), (34, 732), (732, 185), (185, 243), (243, 236), (236, 203), (203, 490), (490, 482), (482, 616), (616, 247), (247, 195)]</t>
  </si>
  <si>
    <t xml:space="preserve">  seg#3 label=EQ#2 (r≈0.455) | end_step=120 | dist=1887.94 | cum=3083.32 | path=[195, 626, 666, 669, 564, 563, 629, 567, 562, 499, 305, 319, 498, 500, 373, 631, 366, 346, 349, 503, 313, 343, 326, 374, 368] | edges=[(195, 626), (626, 666), (666, 669), (669, 564), (564, 563), (563, 629), (629, 567), (567, 562), (562, 499), (499, 305), (305, 319), (319, 498), (498, 500), (500, 373), (373, 631), (631, 366), (366, 346), (346, 349), (349, 503), (503, 313), (313, 343), (343, 326), (326, 374), (374, 368)]</t>
  </si>
  <si>
    <t xml:space="preserve">  seg#4 label=FINAL | end_step=461 | dist=16233.65 | cum=19316.97 | path=[368, 350, 478, 3, 376, 362, 4, 5, 6, 649, 340, 645, 617, 644, 375, 644, 340, 649, 339, 7, 8, 45, 512, 46, 47, 48, 517, 49, 647, 532, 569, 301, 530, 584, 583, 529, 583, 527, 673, 585, 530, 301, 325, 547, 291, 533, 532, 647, 49, 517, 48, 44, 638, 321, 53, 302, 636, 14, 15, 157, 737, 643, 197, 141, 207, 175, 178, 183, 189, 177, 254, 205, 150, 127, 172, 472, 126, 84, 437, 470, 83, 483, 464, 606, 607, 61, 62, 66, 64, 63, 578, 577, 576, 140, 380, 461, 462, 377, 130, 521, 522, 115, 756, 502, 112, 755, 477, 754, 108, 100, 107, 99, 103, 98, 748, 96, 747, 812, 611, 86, 95, 96, 748, 98, 814, 105, 103, 99, 107, 100, 108, 754, 477, 755, 112, 502, 756, 115, 522, 521, 130, 1, 549, 568, 667, 623, 496, 525, 524, 493, 618, 526, 619, 497, 494, 497, 619, 526, 618, 493, 524, 525, 496, 623, 667, 568, 275, 630, 565, 563, 564, 669, 305, 319, 498, 500, 373, 631, 366, 346, 349, 503, 313] | edges=[(368, 350), (350, 478), (478, 3), (3, 376), (376, 362), (362, 4), (4, 5), (5, 6), (6, 649), (649, 340), (340, 645), (645, 617), (617, 644), (644, 375), (375, 644), (644, 340), (340, 649), (649, 339), (339, 7), (7, 8), (8, 45), (45, 512), (512, 46), (46, 47), (47, 48), (48, 517), (517, 49), (49, 647), (647, 532), (532, 569), (569, 301), (301, 530), (530, 584), (584, 583), (583, 529), (529, 583), (583, 527), (527, 673), (673, 585), (585, 530), (530, 301), (301, 325), (325, 547), (547, 291), (291, 533), (533, 532), (532, 647), (647,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812), (812, 611), (611, 86), (86, 95), (95, 96), (96, 748), (748, 98), (98, 814), (814, 105), (105, 103), (103, 99), (99, 107), (107, 100), (100, 108), (108, 754), (754, 477), (477, 755), (755, 112), (112, 502), (502, 756), (756, 115), (115, 522), (522, 521), (521, 130), (130, 1), (1, 549), (549, 568), (568, 667), (667, 623), (623, 496), (496, 525), (525, 524), (524, 493), (493, 618), (618, 526), (526, 619), (619, 497), (497, 494), (494, 497), (497, 619), (619, 526), (526, 618), (618, 493), (493, 524), (524, 525), (525, 496), (496, 623), (623, 667), (667, 568), (568, 275), (275, 630), (630, 565), (565, 563), (563, 564), (564, 669), (669, 305), (305, 319), (319, 498), (498, 500), (500, 373), (373, 631), (631, 366), (366, 346), (346, 349), (349, 503), (503, 313)]</t>
  </si>
  <si>
    <t>[RISK] critical degrees after protection: {313: 3, 494: 1, 495: 2, 529: 1, 604: 3, 607: 3, 748: 3}</t>
  </si>
  <si>
    <t>[494, 495, 529, 604, 607, 748]</t>
  </si>
  <si>
    <t>Bu olayda kapanan yol adedi (undirected): 0</t>
  </si>
  <si>
    <t>Kapanan yollar (i&lt;j): []</t>
  </si>
  <si>
    <t>[SCENARIO 0] demands=[74, 316, 607] | total=3 | capacities=[1, 1, 1]</t>
  </si>
  <si>
    <t>[RISK@try0] r=0.4456 | closed_before=223 | closed_after=223 | reopened=0 | open_ratio=81.1%</t>
  </si>
  <si>
    <t>[Graph change] nonzero edges changed: 446 (r≈0.446). Recompute SP ...</t>
  </si>
  <si>
    <t>Kapanan yol adedi (undirected): 223 | Açıklık oranı: 81.1%</t>
  </si>
  <si>
    <t>Kapanan yollar (ilk 200/223): [(0, 664), (3, 555), (4, 362), (5, 556), (7, 354), (8, 323), (10, 42), (10, 557), (13, 16), (19, 41), (22, 721), (24, 640), (24, 721), (25, 217), (30, 695), (31, 32), (32, 159), (32, 550), (33, 575), (39, 133), (43, 44), (46, 47), (48, 638), (52, 548), (53, 637), (54, 55), (59, 384), (67, 79), (68, 69), (69, 215), (71, 484), (72, 124), (73, 76), (76, 235), (78, 816), (80, 428), (81, 403), (82, 390), (83, 483), (84, 122), (85, 122), (87, 676), (90, 603), (90, 634), (92, 683), (93, 319), (93, 603), (93, 728), (94, 746), (94, 766), (95, 725), (96, 97), (102, 104), (102, 812), (105, 106), (108, 477), (110, 618), (110, 671), (114, 433), (114, 756), (115, 419), (116, 625), (118, 235), (118, 265), (119, 142), (119, 201), (120, 162), (120, 481), (122, 198), (123, 576), (125, 192), (128, 264), (130, 521), (131, 150), (132, 486), (135, 217), (136, 170), (137, 170), (143, 177), (145, 148), (147, 710), (153, 154), (155, 170), (159, 167), (166, 171), (167, 675), (172, 186), (178, 206), (179, 193), (179, 220), (180, 264), (188, 220), (190, 219), (192, 248), (194, 552), (194, 692), (201, 726), (210, 236), (221, 232), (223, 261), (226, 261), (226, 487), (228, 238), (234, 250), (237, 256), (245, 260), (249, 665), (251, 264), (260, 676), (266, 512), (267, 702), (268, 270), (270, 278), (271, 329), (272, 304), (274, 300), (279, 567), (279, 628), (283, 308), (284, 318), (284, 545), (286, 514), (288, 529), (294, 514), (296, 320), (296, 734), (306, 587), (311, 322), (313, 653), (317, 528), (318, 674), (320, 647), (325, 540), (325, 547), (327, 351), (328, 332), (334, 501), (341, 344), (342, 367), (345, 364), (348, 370), (351, 375), (352, 361), (356, 360), (357, 361), (362, 375), (363, 371), (371, 376), (381, 386), (382, 383), (386, 571), (387, 400), (387, 818), (392, 400), (400, 401), (402, 579), (409, 469), (411, 427), (413, 416), (413, 424), (414, 431), (416, 427), (417, 419), (433, 434), (441, 444), (442, 448), (445, 450), (447, 456), (450, 451), (455, 457), (466, 613), (467, 473), (470, 471), (475, 613), (479, 561), (479, 704), (483, 484), (494, 620), (495, 565), (507, 508), (509, 511), (526, 671), (528, 529), (534, 535), (534, 537), (554, 556), (555, 632), (563, 566), (564, 630), (573, 695), (580, 581), (582, 735), (585, 586), (590, 591), (594, 595), (600, 601), (614, 615), (620, 621), (621, 661), (624, 625)]</t>
  </si>
  <si>
    <t>- Target 316: reachable ✓  distance=731.14 | path: [324, 357, 326, 343, 313, 503, 349, 653, 364, 316]</t>
  </si>
  <si>
    <t>- Target 607: reachable ✓  distance=2326.26 | path: [324, 357, 326, 343, 313, 503, 2, 561, 730, 729, 34, 732, 212, 216, 240, 164, 37, 206, 189, 177, 254, 205, 150, 127, 172, 472, 126, 84, 437, 470, 83, 79, 763, 60, 604, 607]</t>
  </si>
  <si>
    <t>- Target 74: reachable ✓  distance=1717.25 | path: [324, 357, 326, 343, 313, 503, 2, 561, 730, 729, 34, 732, 185, 243, 236, 203, 208, 166, 485, 132, 202, 229, 74]</t>
  </si>
  <si>
    <t>[veh=0] start=324 -&gt; end=324 | nodes=[324] | edges=[] | seg_dist=0.00 | cum_dist=0.00</t>
  </si>
  <si>
    <t>[veh=1] start=324 -&gt; end=324 | nodes=[324] | edges=[] | seg_dist=0.00 | cum_dist=0.00</t>
  </si>
  <si>
    <t>[veh=2] start=324 -&gt; end=324 | nodes=[324] | edges=[] | seg_dist=0.00 | cum_dist=0.00</t>
  </si>
  <si>
    <t>step=50 | hedef_açıklık≈88.0% | r≈0.430 | açık_oranı=76.1% | değişen_hücre=118</t>
  </si>
  <si>
    <t>Bu olayda kapanan yol adedi (undirected): 59</t>
  </si>
  <si>
    <t>Kapanan yollar (i&lt;j): [(4, 5), (34, 731), (44, 48), (49, 299), (49, 517), (65, 67), (66, 605), (73, 74), (87, 146), (93, 275), (110, 111), (113, 755), (114, 419), (117, 154), (143, 474), (160, 217), (176, 691), (185, 680), (202, 225), (216, 243), (218, 246), (252, 259), (258, 551), (267, 282), (272, 273), (276, 306), (286, 548), (291, 533), (307, 591), (308, 646), (316, 364), (322, 509), (323, 329), (340, 649), (347, 372), (355, 360), (362, 376), (391, 815), (406, 413), (407, 677), (411, 677), (412, 431), (441, 442), (443, 446), (463, 480), (495, 629), (518, 736), (521, 522), (523, 706), (541, 547), (549, 728), (575, 700), (617, 645), (680, 683), (681, 682), (682, 730), (776, 792), (778, 787), (790, 793)]</t>
  </si>
  <si>
    <t>[veh=0] start=324 -&gt; end=357 | nodes=[324, 357, 326, 343, 313, 503, 349, 653, 364, 316, 364, 653, 349, 503, 313, 343, 326, 357] | edges=[(324, 357), (357, 326), (326, 343), (343, 313), (313, 503), (503, 349), (349, 653), (653, 364), (364, 316), (316, 364), (364, 653), (653, 349), (349, 503), (503, 313), (313, 343), (343, 326), (326, 357)] | seg_dist=1363.66 | cum_dist=1363.66</t>
  </si>
  <si>
    <t>[veh=1] start=324 -&gt; end=500 | nodes=[324, 357, 326, 343, 313, 503, 349, 653, 364, 316, 364, 653, 349, 346, 366, 631, 373, 500] | edges=[(324, 357), (357, 326), (326, 343), (343, 313), (313, 503), (503, 349), (349, 653), (653, 364), (364, 316), (316, 364), (364, 653), (653, 349), (349, 346), (346, 366), (366, 631), (631, 373), (373, 500)] | seg_dist=1594.05 | cum_dist=1594.05</t>
  </si>
  <si>
    <t>[veh=2] start=324 -&gt; end=373 | nodes=[324, 357, 326, 343, 313, 503, 349, 653, 364, 316, 364, 653, 349, 346, 366, 631, 373] | edges=[(324, 357), (357, 326), (326, 343), (343, 313), (313, 503), (503, 349), (349, 653), (653, 364), (364, 316), (316, 364), (364, 653), (653, 349), (349, 346), (346, 366), (366, 631), (631, 373)] | seg_dist=1544.69 | cum_dist=1544.69</t>
  </si>
  <si>
    <t>[TEST] veh=0 terminal reason=empty_home, loc=324, steps_since_delivery=27</t>
  </si>
  <si>
    <t>step=120 | hedef_açıklık≈92.0% | r≈0.455 | açık_oranı=76.1% | değişen_hücre=0</t>
  </si>
  <si>
    <t>[veh=0] start=357 -&gt; end=324 | nodes=[357, 324] | edges=[(357, 324)] | seg_dist=98.62 | cum_dist=1462.28</t>
  </si>
  <si>
    <t>[veh=1] start=500 -&gt; end=326 | nodes=[500, 498, 319, 305, 669, 666, 626, 195, 247, 144, 233, 488, 486, 75, 74, 229, 202, 132, 485, 166, 208, 203, 236, 243, 185, 732, 34, 729, 730, 561, 2, 503, 313, 343, 326] | edges=[(500, 498), (498, 319), (319, 305), (305, 669), (669, 666), (666, 626), (626, 195), (195, 247), (247, 144), (144, 233), (233, 488), (488, 486), (486, 75), (75, 74), (74, 229), (229, 202), (202, 132), (132, 485), (485, 166), (166, 208), (208, 203), (203, 236), (236, 243), (243, 185), (185, 732), (732, 34), (34, 729), (729, 730), (730, 561), (561, 2), (2, 503), (503, 313), (313, 343), (343, 326)] | seg_dist=2837.43 | cum_dist=4431.48</t>
  </si>
  <si>
    <t>[veh=2] start=373 -&gt; end=607 | nodes=[373, 500, 498, 319, 305, 669, 666, 626, 195, 247, 144, 233, 488, 486, 75, 74, 229, 124, 215, 460, 472, 126, 84, 437, 470, 83, 79, 763, 60, 604, 607, 61, 466, 465, 606, 607] | edges=[(373, 500), (500, 498), (498, 319), (319, 305), (305, 669), (669, 666), (666, 626), (626, 195), (195, 247), (247, 144), (144, 233), (233, 488), (488, 486), (486, 75), (75, 74), (74, 229), (229, 124), (124, 215), (215, 460), (460, 472), (472, 126), (126, 84), (84, 437), (437, 470), (470, 83), (83, 79), (79, 763), (763, 60), (60, 604), (604, 607), (607, 61), (61, 466), (466, 465), (465, 606), (606, 607)] | seg_dist=2863.98 | cum_dist=4408.67</t>
  </si>
  <si>
    <t>[TEST] veh=1 terminal reason=vehicle_home, loc=324, steps_since_delivery=13</t>
  </si>
  <si>
    <t>[TEST] veh=2 terminal reason=solved, loc=324, steps_since_delivery=47</t>
  </si>
  <si>
    <t>[veh=0] start=324 -&gt; end=324 | nodes=[324] | edges=[] | seg_dist=0.00 | cum_dist=1462.28</t>
  </si>
  <si>
    <t>[veh=1] start=326 -&gt; end=324 | nodes=[326, 357, 324] | edges=[(326, 357), (357, 324)] | seg_dist=200.50 | cum_dist=4631.98</t>
  </si>
  <si>
    <t>[veh=2] start=607 -&gt; end=324 | nodes=[607, 604, 60, 763, 79, 83, 470, 437, 84, 126, 472, 172, 127, 150, 205, 254, 177, 189, 206, 37, 164, 240, 216, 212, 732, 34, 729, 730, 561, 2, 503, 313, 343, 326, 357, 324] | edges=[(607, 604), (604, 60), (60, 763), (763, 79), (79,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313), (313, 343), (343, 326), (326, 357), (357, 324)] | seg_dist=2326.26 | cum_dist=6734.93</t>
  </si>
  <si>
    <t>Total shaped reward: 3.638 | deliveries=3 | backtracks=3</t>
  </si>
  <si>
    <t xml:space="preserve">  veh 0: end_loc=324, cap_left=0, delivered=1, distance=1462.28</t>
  </si>
  <si>
    <t xml:space="preserve">  route (full nodes): [324, 357, 326, 343, 313, 503, 349, 653, 364, 316, 364, 653, 349, 503, 313, 343, 326, 357, 324]</t>
  </si>
  <si>
    <t xml:space="preserve">  route (full edges): [(324, 357), (357, 326), (326, 343), (343, 313), (313, 503), (503, 349), (349, 653), (653, 364), (364, 316), (316, 364), (364, 653), (653, 349), (349, 503), (503, 313), (313, 343), (343, 326), (326, 357), (357, 324)]</t>
  </si>
  <si>
    <t xml:space="preserve">  veh 1: end_loc=324, cap_left=0, delivered=1, distance=4631.98</t>
  </si>
  <si>
    <t xml:space="preserve">  route (full nodes): [324, 357, 326, 343, 313, 503, 349, 653, 364, 316, 364, 653, 349, 346, 366, 631, 373, 500, 498, 319, 305, 669, 666, 626, 195, 247, 144, 233, 488, 486, 75, 74, 229, 202, 132, 485, 166, 208, 203, 236, 243, 185, 732, 34, 729, 730, 561, 2, 503, 313, 343, 326, 357, 324]</t>
  </si>
  <si>
    <t xml:space="preserve">  route (full edges): [(324, 357), (357, 326), (326, 343), (343, 313), (313, 503), (503, 349), (349, 653), (653, 364), (364, 316), (316, 364), (364, 653), (653, 349), (349, 346), (346, 366), (366, 631), (631, 373), (373, 500), (500, 498), (498, 319), (319, 305), (305, 669), (669, 666), (666, 626), (626, 195), (195, 247), (247, 144), (144, 233), (233, 488), (488, 486), (486, 75), (75, 74), (74, 229), (229, 202), (202, 132), (132, 485), (485, 166), (166, 208), (208, 203), (203, 236), (236, 243), (243, 185), (185, 732), (732, 34), (34, 729), (729, 730), (730, 561), (561, 2), (2, 503), (503, 313), (313, 343), (343, 326), (326, 357), (357, 324)]</t>
  </si>
  <si>
    <t xml:space="preserve">  veh 2: end_loc=324, cap_left=0, delivered=1, distance=6734.93</t>
  </si>
  <si>
    <t xml:space="preserve">  route (full nodes): [324, 357, 326, 343, 313, 503, 349, 653, 364, 316, 364, 653, 349, 346, 366, 631, 373, 500, 498, 319, 305, 669, 666, 626, 195, 247, 144, 233, 488, 486, 75, 74, 229, 124, 215, 460, 472, 126, 84, 437, 470, 83, 79, 763, 60, 604, 607, 61, 466, 465, 606, 607, 604, 60, 763, 79, 83, 470, 437, 84, 126, 472, 172, 127, 150, 205, 254, 177, 189, 206, 37, 164, 240, 216, 212, 732, 34, 729, 730, 561, 2, 503, 313, 343, 326, 357, 324]</t>
  </si>
  <si>
    <t xml:space="preserve">  route (full edges): [(324, 357), (357, 326), (326, 343), (343, 313), (313, 503), (503, 349), (349, 653), (653, 364), (364, 316), (316, 364), (364, 653), (653, 349), (349, 346), (346, 366), (366, 631), (631, 373), (373, 500), (500, 498), (498, 319), (319, 305), (305, 669), (669, 666), (666, 626), (626, 195), (195, 247), (247, 144), (144, 233), (233, 488), (488, 486), (486, 75), (75, 74), (74, 229), (229, 124), (124, 215), (215, 460), (460, 472), (472, 126), (126, 84), (84, 437), (437, 470), (470, 83), (83, 79), (79, 763), (763, 60), (60, 604), (604, 607), (607, 61), (61, 466), (466, 465), (465, 606), (606, 607), (607, 604), (604, 60), (60, 763), (763, 79), (79,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313), (313, 343), (343, 326), (326, 357), (357, 324)]</t>
  </si>
  <si>
    <t xml:space="preserve">  seg#1 label=EQ#1 (initial) | end_step=0 | dist=0.00 | cum=0.00 | path=[324] | edges=[]</t>
  </si>
  <si>
    <t xml:space="preserve">  seg#2 label=EQ#1 (r≈0.430) | end_step=50 | dist=1363.66 | cum=1363.66 | path=[324, 357, 326, 343, 313, 503, 349, 653, 364, 316, 364, 653, 349, 503, 313, 343, 326, 357] | edges=[(324, 357), (357, 326), (326, 343), (343, 313), (313, 503), (503, 349), (349, 653), (653, 364), (364, 316), (316, 364), (364, 653), (653, 349), (349, 503), (503, 313), (313, 343), (343, 326), (326, 357)]</t>
  </si>
  <si>
    <t xml:space="preserve">  seg#3 label=EQ#2 (r≈0.455) | end_step=120 | dist=98.62 | cum=1462.28 | path=[357, 324] | edges=[(357, 324)]</t>
  </si>
  <si>
    <t xml:space="preserve">  seg#4 label=FINAL | end_step=157 | dist=0.00 | cum=1462.28 | path=[324] | edges=[]</t>
  </si>
  <si>
    <t xml:space="preserve">  seg#2 label=EQ#1 (r≈0.430) | end_step=50 | dist=1594.05 | cum=1594.05 | path=[324, 357, 326, 343, 313, 503, 349, 653, 364, 316, 364, 653, 349, 346, 366, 631, 373, 500] | edges=[(324, 357), (357, 326), (326, 343), (343, 313), (313, 503), (503, 349), (349, 653), (653, 364), (364, 316), (316, 364), (364, 653), (653, 349), (349, 346), (346, 366), (366, 631), (631, 373), (373, 500)]</t>
  </si>
  <si>
    <t xml:space="preserve">  seg#3 label=EQ#2 (r≈0.455) | end_step=120 | dist=2837.43 | cum=4431.48 | path=[500, 498, 319, 305, 669, 666, 626, 195, 247, 144, 233, 488, 486, 75, 74, 229, 202, 132, 485, 166, 208, 203, 236, 243, 185, 732, 34, 729, 730, 561, 2, 503, 313, 343, 326] | edges=[(500, 498), (498, 319), (319, 305), (305, 669), (669, 666), (666, 626), (626, 195), (195, 247), (247, 144), (144, 233), (233, 488), (488, 486), (486, 75), (75, 74), (74, 229), (229, 202), (202, 132), (132, 485), (485, 166), (166, 208), (208, 203), (203, 236), (236, 243), (243, 185), (185, 732), (732, 34), (34, 729), (729, 730), (730, 561), (561, 2), (2, 503), (503, 313), (313, 343), (343, 326)]</t>
  </si>
  <si>
    <t xml:space="preserve">  seg#4 label=FINAL | end_step=157 | dist=200.50 | cum=4631.98 | path=[326, 357, 324] | edges=[(326, 357), (357, 324)]</t>
  </si>
  <si>
    <t xml:space="preserve">  seg#2 label=EQ#1 (r≈0.430) | end_step=50 | dist=1544.69 | cum=1544.69 | path=[324, 357, 326, 343, 313, 503, 349, 653, 364, 316, 364, 653, 349, 346, 366, 631, 373] | edges=[(324, 357), (357, 326), (326, 343), (343, 313), (313, 503), (503, 349), (349, 653), (653, 364), (364, 316), (316, 364), (364, 653), (653, 349), (349, 346), (346, 366), (366, 631), (631, 373)]</t>
  </si>
  <si>
    <t xml:space="preserve">  seg#3 label=EQ#2 (r≈0.455) | end_step=120 | dist=2863.98 | cum=4408.67 | path=[373, 500, 498, 319, 305, 669, 666, 626, 195, 247, 144, 233, 488, 486, 75, 74, 229, 124, 215, 460, 472, 126, 84, 437, 470, 83, 79, 763, 60, 604, 607, 61, 466, 465, 606, 607] | edges=[(373, 500), (500, 498), (498, 319), (319, 305), (305, 669), (669, 666), (666, 626), (626, 195), (195, 247), (247, 144), (144, 233), (233, 488), (488, 486), (486, 75), (75, 74), (74, 229), (229, 124), (124, 215), (215, 460), (460, 472), (472, 126), (126, 84), (84, 437), (437, 470), (470, 83), (83, 79), (79, 763), (763, 60), (60, 604), (604, 607), (607, 61), (61, 466), (466, 465), (465, 606), (606, 607)]</t>
  </si>
  <si>
    <t xml:space="preserve">  seg#4 label=FINAL | end_step=157 | dist=2326.26 | cum=6734.93 | path=[607, 604, 60, 763, 79, 83, 470, 437, 84, 126, 472, 172, 127, 150, 205, 254, 177, 189, 206, 37, 164, 240, 216, 212, 732, 34, 729, 730, 561, 2, 503, 313, 343, 326, 357, 324] | edges=[(607, 604), (604, 60), (60, 763), (763, 79), (79, 83), (83, 470), (470, 437), (437, 84), (84, 126), (126, 472), (472, 172), (172, 127), (127, 150), (150, 205), (205, 254), (254, 177), (177, 189), (189, 206), (206, 37), (37, 164), (164, 240), (240, 216), (216, 212), (212, 732), (732, 34), (34, 729), (729, 730), (730, 561), (561, 2), (2, 503), (503, 313), (313, 343), (343, 326), (326, 357), (357, 324)]</t>
  </si>
  <si>
    <t>[RISK] critical degrees after protection: {324: 5, 74: 2, 316: 0, 607: 3}</t>
  </si>
  <si>
    <t>[74, 316, 607]</t>
  </si>
  <si>
    <t>[SCENARIO 2] demands=[196, 271, 316, 438, 464] | total=5 | capacities=[2, 2, 1]</t>
  </si>
  <si>
    <t>[RISK@try0] r=0.4703 | closed_before=115 | closed_after=115 | reopened=0 | open_ratio=90.3%</t>
  </si>
  <si>
    <t>[Graph change] nonzero edges changed: 230 (r≈0.470). Recompute SP ...</t>
  </si>
  <si>
    <t>Kapanan yol adedi (undirected): 115 | Açıklık oranı: 90.3%</t>
  </si>
  <si>
    <t>Kapanan yollar (i&lt;j): [(3, 555), (7, 354), (8, 323), (10, 42), (10, 557), (19, 41), (24, 721), (25, 217), (33, 575), (39, 133), (48, 638), (52, 548), (53, 637), (54, 55), (59, 384), (67, 79), (68, 69), (69, 215), (71, 484), (78, 816), (80, 428), (84, 122), (87, 676), (90, 634), (92, 683), (93, 603), (93, 728), (94, 746), (105, 106), (108, 477), (114, 433), (118, 235), (118, 265), (119, 142), (119, 201), (120, 162), (120, 481), (131, 150), (132, 486), (137, 170), (145, 148), (147, 710), (153, 154), (166, 171), (167, 675), (178, 206), (179, 193), (180, 264), (192, 248), (201, 726), (221, 232), (223, 261), (226, 487), (228, 238), (234, 250), (249, 665), (251, 264), (260, 676), (266, 512), (270, 278), (272, 304), (274, 300), (283, 308), (284, 318), (288, 529), (294, 514), (306, 587), (311, 322), (317, 528), (325, 540), (342, 367), (345, 364), (362, 375), (363, 371), (386, 571), (387, 400), (387, 818), (392, 400), (411, 427), (413, 416), (413, 424), (414, 431), (416, 427), (417, 419), (441, 444), (447, 456), (466, 613), (467, 473), (470, 471), (475, 613), (479, 561), (494, 620), (495, 565), (507, 508), (526, 671), (528, 529), (534, 535), (554, 556), (555, 632), (564, 630), (582, 735), (590, 591), (594, 595), (600, 601), (614, 615), (620, 621), (639, 641), (657, 661), (712, 713), (753, 760), (776, 778), (786, 797), (796, 797), (799, 800), (803, 804)]</t>
  </si>
  <si>
    <t>- Target 316: reachable ✓  distance=1355.59 | path: [183, 189, 206, 37, 164, 240, 216, 212, 732, 34, 729, 730, 561, 2, 503, 349, 653, 364, 316]</t>
  </si>
  <si>
    <t>- Target 464: reachable ✓  distance=908.27 | path: [183, 143, 177, 254, 205, 150, 127, 172, 472, 126, 84, 437, 470, 83, 483, 464]</t>
  </si>
  <si>
    <t>- Target 196: reachable ✓  distance=1421.89 | path: [183, 189, 227, 214, 251, 156, 210, 236, 203, 490, 482, 616, 247, 195, 626, 666, 168, 211, 196]</t>
  </si>
  <si>
    <t>- Target 271: reachable ✓  distance=1547.04 | path: [183, 189, 206, 37, 164, 240, 216, 212, 732, 34, 729, 730, 561, 2, 503, 313, 343, 326, 357, 324, 744, 298, 743, 277, 335, 271]</t>
  </si>
  <si>
    <t>- Target 438: reachable ✓  distance=660.70 | path: [183, 143, 177, 254, 205, 150, 127, 172, 186, 129, 438]</t>
  </si>
  <si>
    <t>[veh=0] start=183 -&gt; end=183 | nodes=[183] | edges=[] | seg_dist=0.00 | cum_dist=0.00</t>
  </si>
  <si>
    <t>[veh=1] start=183 -&gt; end=183 | nodes=[183] | edges=[] | seg_dist=0.00 | cum_dist=0.00</t>
  </si>
  <si>
    <t>[veh=2] start=183 -&gt; end=183 | nodes=[183] | edges=[] | seg_dist=0.00 | cum_dist=0.00</t>
  </si>
  <si>
    <t>step=50 | hedef_açıklık≈88.0% | r≈0.430 | açık_oranı=85.2% | değişen_hücre=120</t>
  </si>
  <si>
    <t>Kapanan yollar (i&lt;j): [(0, 664), (13, 16), (24, 640), (30, 695), (31, 32), (32, 550), (43, 44), (46, 47), (73, 76), (82, 390), (90, 603), (93, 319), (94, 766), (95, 725), (102, 104), (102, 812), (110, 618), (115, 419), (116, 625), (125, 192), (128, 264), (130, 521), (136, 170), (179, 220), (188, 220), (194, 692), (271, 329), (296, 320), (296, 734), (320, 647), (327, 351), (334, 501), (341, 344), (352, 361), (357, 361), (381, 386), (382, 383), (400, 401), (402, 579), (433, 434), (442, 448), (445, 450), (450, 451), (479, 704), (509, 511), (534, 537), (563, 566), (573, 695), (580, 581), (585, 586), (635, 636), (635, 642), (656, 661), (672, 728), (713, 715), (767, 768), (768, 770), (779, 785), (783, 795), (788, 798)]</t>
  </si>
  <si>
    <t>[veh=0] start=183 -&gt; end=126 | nodes=[183, 178, 175, 152, 36, 38, 164, 37, 206, 189, 177, 254, 205, 150, 127, 172, 186, 126] | edges=[(183, 178), (178, 175), (175, 152), (152, 36), (36, 38), (38, 164), (164, 37), (37, 206), (206, 189), (189, 177), (177, 254), (254, 205), (205, 150), (150, 127), (127, 172), (172, 186), (186, 126)] | seg_dist=1266.74 | cum_dist=1266.74</t>
  </si>
  <si>
    <t>[veh=1] start=183 -&gt; end=239 | nodes=[183, 178, 175, 152, 37, 206, 189, 177, 254, 205, 150, 127, 172, 186, 129, 438, 198, 239] | edges=[(183, 178), (178, 175), (175, 152), (152, 37), (37, 206), (206, 189), (189, 177), (177, 254), (254, 205), (205, 150), (150, 127), (127, 172), (172, 186), (186, 129), (129, 438), (438, 198), (198, 239)] | seg_dist=1286.18 | cum_dist=1286.18</t>
  </si>
  <si>
    <t>[veh=2] start=183 -&gt; end=260 | nodes=[183, 178, 175, 152, 37, 206, 189, 177, 254, 205, 150, 127, 172, 186, 129, 199, 260] | edges=[(183, 178), (178, 175), (175, 152), (152, 37), (37, 206), (206, 189), (189, 177), (177, 254), (254, 205), (205, 150), (150, 127), (127, 172), (172, 186), (186, 129), (129, 199), (199, 260)] | seg_dist=1303.85 | cum_dist=1303.85</t>
  </si>
  <si>
    <t>step=120 | hedef_açıklık≈92.0% | r≈0.455 | açık_oranı=84.6% | değişen_hücre=14</t>
  </si>
  <si>
    <t>Bu olayda kapanan yol adedi (undirected): 7</t>
  </si>
  <si>
    <t>Kapanan yollar (i&lt;j): [(5, 556), (83, 483), (122, 198), (172, 186), (245, 260), (279, 628), (639, 640)]</t>
  </si>
  <si>
    <t>[veh=0] start=126 -&gt; end=196 | nodes=[126, 239, 84, 437, 471, 68, 484, 483, 464, 60, 604, 605, 66, 64, 63, 578, 577, 576, 123, 120, 117, 154, 223, 196] | edges=[(126, 239), (239, 84), (84, 437), (437, 471), (471, 68), (68, 484), (484, 483), (483, 464), (464, 60), (60, 604), (604, 605), (605, 66), (66, 64), (64, 63), (63, 578), (578, 577), (577, 576), (576, 123), (123, 120), (120, 117), (117, 154), (154, 223), (223, 196)] | seg_dist=1788.53 | cum_dist=3055.27</t>
  </si>
  <si>
    <t>[veh=1] start=239 -&gt; end=229 | nodes=[239, 126, 84, 437, 471, 68, 484, 483, 83, 470, 437, 85, 122, 198, 239, 126, 472, 460, 215, 124, 72, 73, 74, 229] | edges=[(239, 126), (126, 84), (84, 437), (437, 471), (471, 68), (68, 484), (484, 483), (483, 83), (83, 470), (470, 437), (437, 85), (85, 122), (122, 198), (198, 239), (239, 126), (126, 472), (472, 460), (460, 215), (215, 124), (124, 72), (72, 73), (73, 74), (74, 229)] | seg_dist=1265.50 | cum_dist=2551.68</t>
  </si>
  <si>
    <t>[veh=2] start=260 -&gt; end=117 | nodes=[260, 182, 127, 187, 460, 472, 126, 84, 437, 471, 68, 484, 483, 464, 60, 604, 607, 61, 62, 578, 577, 576, 123, 120, 117] | edges=[(260, 182), (182, 127), (127, 187), (187, 460), (460, 472), (472, 126), (126, 84), (84, 437), (437, 471), (471, 68), (68, 484), (484, 483), (483, 464), (464, 60), (60, 604), (604, 607), (607, 61), (61, 62), (62, 578), (578, 577), (577, 576), (576, 123), (123, 120), (120, 117)] | seg_dist=1923.48 | cum_dist=3227.33</t>
  </si>
  <si>
    <t>[TEST] veh=0 terminal reason=empty_home, loc=183, steps_since_delivery=54</t>
  </si>
  <si>
    <t>[TEST] veh=2 terminal reason=vehicle_home, loc=183, steps_since_delivery=9</t>
  </si>
  <si>
    <t>[TEST] veh=1 terminal reason=solved, loc=183, steps_since_delivery=31</t>
  </si>
  <si>
    <t xml:space="preserve">[veh=0] start=196 -&gt; end=183 | nodes=[196, 211, 168, 666, 626, 195, 247, 616, 482, 490, 203, 236, 210, 156, 251, 214, 227, 189, 183] | edges=[(196, 211), (211, 168), (168, 666), (666, 626), (626, 195), (195, 247), (247, 616), (616, 482), (482, 490), (490, 203), (203, 236), (236, 210), (210, 156), (156, 251), (251, 214), (214, 227), (227, 189), (189, 183)] | seg_dist=1421.89 | cum_dist=4477.16   </t>
  </si>
  <si>
    <t>[veh=1] start=229 -&gt; end=183 | nodes=[229, 202, 225, 187, 127, 150, 205, 254, 177, 189, 206, 37, 164, 240, 216, 212, 732, 34, 729, 730, 561, 2, 503, 349, 653, 364, 316, 364, 653, 313, 343, 326, 357, 324, 744, 298, 743, 277, 335, 271, 519, 520, 740, 741, 652, 744, 324, 357, 326, 343, 313, 503, 2, 561, 730, 729, 34, 732, 212, 216, 240, 164, 37, 206, 189, 183] | edges=[(229, 202), (202, 225), (225, 187), (187, 127), (127, 150), (150, 205), (205, 254), (254, 177), (177, 189), (189, 206), (206, 37), (37, 164), (164, 240), (240, 216), (216, 212), (212, 732), (732, 34), (34, 729), (729, 730), (730, 561), (561, 2), (2, 503), (503, 349), (349, 653), (653, 364), (364, 316), (316, 364), (364, 653), (653, 313), (313, 343), (343, 326), (326, 357), (357, 324), (324, 744), (744, 298), (298, 743), (743, 277), (277, 335), (335, 271), (271, 519), (519, 520), (520, 740), (740, 741), (741, 652), (652, 744), (744, 324), (324, 357), (357, 326), (326, 343), (343, 313), (313, 503), (503, 2), (2, 561), (561, 730), (730, 729), (729, 34), (34, 732), (732, 212), (212, 216), (216, 240), (240, 164), (164, 37), (37, 206), (206, 189), (189, 183)] | seg_dist=4786.82 | cum_dist=7338.51</t>
  </si>
  <si>
    <t>[veh=2] start=117 -&gt; end=183 | nodes=[117, 234, 153, 261, 226, 263, 144, 247, 616, 482, 490, 203, 236, 243, 185, 732, 34, 729, 730, 561, 2, 503, 349, 653, 364, 316, 364, 653, 349, 503, 2, 561, 730, 729, 34, 732, 212, 216, 240, 164, 37, 206, 189, 183] | edges=[(117, 234), (234, 153), (153, 261), (261, 226), (226, 263), (263, 144), (144, 247), (247, 616), (616, 482), (482, 490), (490, 203), (203, 236), (236, 243), (243, 185), (185, 732), (732, 34), (34, 729), (729, 730), (730, 561), (561, 2), (2, 503), (503, 349), (349, 653), (653, 364), (364, 316), (316, 364), (364, 653), (653, 349), (349, 503), (503, 2), (2, 561), (561, 730), (730, 729), (729, 34), (34, 732), (732, 212), (212, 216), (216, 240), (240, 164), (164, 37), (37, 206), (206, 189), (189, 183)] | seg_dist=3411.06 | cum_dist=6638.39</t>
  </si>
  <si>
    <t>Total shaped reward: 22.884 | deliveries=5 | backtracks=2</t>
  </si>
  <si>
    <t xml:space="preserve">  veh 0: end_loc=183, cap_left=0, delivered=2, distance=4477.16</t>
  </si>
  <si>
    <t xml:space="preserve">  route (full nodes): [183, 178, 175, 152, 36, 38, 164, 37, 206, 189, 177, 254, 205, 150, 127, 172, 186, 126, 239, 84, 437, 471, 68, 484, 483, 464, 60, 604, 605, 66, 64, 63, 578, 577, 576, 123, 120, 117, 154, 223, 196, 211, 168, 666, 626, 195, 247, 616, 482, 490, 203, 236, 210, 156, 251, 214, 227, 189, 183]</t>
  </si>
  <si>
    <t xml:space="preserve">  route (full edges): [(183, 178), (178, 175), (175, 152), (152, 36), (36, 38), (38, 164), (164, 37), (37, 206), (206, 189), (189, 177), (177, 254), (254, 205), (205, 150), (150, 127), (127, 172), (172, 186), (186, 126), (126, 239), (239, 84), (84, 437), (437, 471), (471, 68), (68, 484), (484, 483), (483, 464), (464, 60), (60, 604), (604, 605), (605, 66), (66, 64), (64, 63), (63, 578), (578, 577), (577, 576), (576, 123), (123, 120), (120, 117), (117, 154), (154, 223), (223, 196), (196, 211), (211, 168), (168, 666), (666, 626), (626, 195), (195, 247), (247, 616), (616, 482), (482, 490), (490, 203), (203, 236), (236, 210), (210, 156), (156, 251), (251, 214), (214, 227), (227, 189), (189, 183)]</t>
  </si>
  <si>
    <t xml:space="preserve">  veh 1: end_loc=183, cap_left=0, delivered=2, distance=7338.51</t>
  </si>
  <si>
    <t xml:space="preserve">  route (full nodes): [183, 178, 175, 152, 37, 206, 189, 177, 254, 205, 150, 127, 172, 186, 129, 438, 198, 239, 126, 84, 437, 471, 68, 484, 483, 83, 470, 437, 85, 122, 198, 239, 126, 472, 460, 215, 124, 72, 73, 74, 229, 202, 225, 187, 127, 150, 205, 254, 177, 189, 206, 37, 164, 240, 216, 212, 732, 34, 729, 730, 561, 2, 503, 349, 653, 364, 316, 364, 653, 313, 343, 326, 357, 324, 744, 298, 743, 277, 335, 271, 519, 520, 740, 741, 652, 744, 324, 357, 326, 343, 313, 503, 2, 561, 730, 729, 34, 732, 212, 216, 240, 164, 37, 206, 189, 183]</t>
  </si>
  <si>
    <t xml:space="preserve">  route (full edges): [(183, 178), (178, 175), (175, 152), (152, 37), (37, 206), (206, 189), (189, 177), (177, 254), (254, 205), (205, 150), (150, 127), (127, 172), (172, 186), (186, 129), (129, 438), (438, 198), (198, 239), (239, 126), (126, 84), (84, 437), (437, 471), (471, 68), (68, 484), (484, 483), (483, 83), (83, 470), (470, 437), (437, 85), (85, 122), (122, 198), (198, 239), (239, 126), (126, 472), (472, 460), (460, 215), (215, 124), (124, 72), (72, 73), (73, 74), (74, 229), (229, 202), (202, 225), (225, 187), (187, 127), (127, 150), (150, 205), (205, 254), (254, 177), (177, 189), (189, 206), (206, 37), (37, 164), (164, 240), (240, 216), (216, 212), (212, 732), (732, 34), (34, 729), (729, 730), (730, 561), (561, 2), (2, 503), (503, 349), (349, 653), (653, 364), (364, 316), (316, 364), (364, 653), (653, 313), (313, 343), (343, 326), (326, 357), (357, 324), (324, 744), (744, 298), (298, 743), (743, 277), (277, 335), (335, 271), (271, 519), (519, 520), (520, 740), (740, 741), (741, 652), (652, 744), (744, 324), (324, 357), (357, 326), (326, 343), (343, 313), (313, 503), (503, 2), (2, 561), (561, 730), (730, 729), (729, 34), (34, 732), (732, 212), (212, 216), (216, 240), (240, 164), (164, 37), (37, 206), (206, 189), (189, 183)]</t>
  </si>
  <si>
    <t xml:space="preserve">  veh 2: end_loc=183, cap_left=0, delivered=1, distance=6638.39</t>
  </si>
  <si>
    <t xml:space="preserve">  route (full nodes): [183, 178, 175, 152, 37, 206, 189, 177, 254, 205, 150, 127, 172, 186, 129, 199, 260, 182, 127, 187, 460, 472, 126, 84, 437, 471, 68, 484, 483, 464, 60, 604, 607, 61, 62, 578, 577, 576, 123, 120, 117, 234, 153, 261, 226, 263, 144, 247, 616, 482, 490, 203, 236, 243, 185, 732, 34, 729, 730, 561, 2, 503, 349, 653, 364, 316, 364, 653, 349, 503, 2, 561, 730, 729, 34, 732, 212, 216, 240, 164, 37, 206, 189, 183]</t>
  </si>
  <si>
    <t xml:space="preserve">  route (full edges): [(183, 178), (178, 175), (175, 152), (152, 37), (37, 206), (206, 189), (189, 177), (177, 254), (254, 205), (205, 150), (150, 127), (127, 172), (172, 186), (186, 129), (129, 199), (199, 260), (260, 182), (182, 127), (127, 187), (187, 460), (460, 472), (472, 126), (126, 84), (84, 437), (437, 471), (471, 68), (68, 484), (484, 483), (483, 464), (464, 60), (60, 604), (604, 607), (607, 61), (61, 62), (62, 578), (578, 577), (577, 576), (576, 123), (123, 120), (120, 117), (117, 234), (234, 153), (153, 261), (261, 226), (226, 263), (263, 144), (144, 247), (247, 616), (616, 482), (482, 490), (490, 203), (203, 236), (236, 243), (243, 185), (185, 732), (732, 34), (34, 729), (729, 730), (730, 561), (561, 2), (2, 503), (503, 349), (349, 653), (653, 364), (364, 316), (316, 364), (364, 653), (653, 349), (349, 503), (503, 2), (2, 561), (561, 730), (730, 729), (729, 34), (34, 732), (732, 212), (212, 216), (216, 240), (240, 164), (164, 37), (37, 206), (206, 189), (189, 183)]   </t>
  </si>
  <si>
    <t xml:space="preserve">  seg#1 label=EQ#1 (initial) | end_step=0 | dist=0.00 | cum=0.00 | path=[183] | edges=[]</t>
  </si>
  <si>
    <t xml:space="preserve">  seg#2 label=EQ#1 (r≈0.430) | end_step=50 | dist=1266.74 | cum=1266.74 | path=[183, 178, 175, 152, 36, 38, 164, 37, 206, 189, 177, 254, 205, 150, 127, 172, 186, 126] | edges=[(183, 178), (178, 175), (175, 152), (152, 36), (36, 38), (38, 164), (164, 37), (37, 206), (206, 189), (189, 177), (177, 254), (254, 205), (205, 150), (150, 127), (127, 172), (172, 186), (186, 126)]</t>
  </si>
  <si>
    <t xml:space="preserve">  seg#3 label=EQ#2 (r≈0.455) | end_step=120 | dist=1788.53 | cum=3055.27 | path=[126, 239, 84, 437, 471, 68, 484, 483, 464, 60, 604, 605, 66, 64, 63, 578, 577, 576, 123, 120, 117, 154, 223, 196] | edges=[(126, 239), (239, 84), (84, 437), (437, 471), (471, 68), (68, 484), (484, 483), (483, 464), (464, 60), (60, 604), (604, 605), (605, 66), (66, 64), (64, 63), (63, 578), (578, 577), (577, 576), (576, 123), (123, 120), (120, 117), (117, 154), (154, 223), (223, 196)]</t>
  </si>
  <si>
    <t xml:space="preserve">  seg#4 label=FINAL | end_step=246 | dist=1421.89 | cum=4477.16 | path=[196, 211, 168, 666, 626, 195, 247, 616, 482, 490, 203, 236, 210, 156, 251, 214, 227, 189, 183] | edges=[(196, 211), (211, 168), (168, 666), (666, 626), (626, 195), (195, 247), (247, 616), (616, 482), (482, 490), (490, 203), (203, 236), (236, 210), (210, 156), (156, 251), (251, 214), (214, 227), (227, 189), (189, 183)]       </t>
  </si>
  <si>
    <t xml:space="preserve">  seg#2 label=EQ#1 (r≈0.430) | end_step=50 | dist=1286.18 | cum=1286.18 | path=[183, 178, 175, 152, 37, 206, 189, 177, 254, 205, 150, 127, 172, 186, 129, 438, 198, 239] | edges=[(183, 178), (178, 175), (175, 152), (152, 37), (37, 206), (206, 189), (189, 177), (177, 254), (254, 205), (205, 150), (150, 127), (127, 172), (172, 186), (186, 129), (129, 438), (438, 198), (198, 239)]</t>
  </si>
  <si>
    <t xml:space="preserve">  seg#3 label=EQ#2 (r≈0.455) | end_step=120 | dist=1265.50 | cum=2551.68 | path=[239, 126, 84, 437, 471, 68, 484, 483, 83, 470, 437, 85, 122, 198, 239, 126, 472, 460, 215, 124, 72, 73, 74, 229] | edges=[(239, 126), (126, 84), (84, 437), (437, 471), (471, 68), (68, 484), (484, 483), (483, 83), (83, 470), (470, 437), (437, 85), (85, 122), (122, 198), (198, 239), (239, 126), (126, 472), (472, 460), (460, 215), (215, 124), (124, 72), (72, 73), (73, 74), (74, 229)]</t>
  </si>
  <si>
    <t xml:space="preserve">  seg#4 label=FINAL | end_step=246 | dist=4786.82 | cum=7338.51 | path=[229, 202, 225, 187, 127, 150, 205, 254, 177, 189, 206, 37, 164, 240, 216, 212, 732, 34, 729, 730, 561, 2, 503, 349, 653, 364, 316, 364, 653, 313, 343, 326, 357, 324, 744, 298, 743, 277, 335, 271, 519, 520, 740, 741, 652, 744, 324, 357, 326, 343, 313, 503, 2, 561, 730, 729, 34, 732, 212, 216, 240, 164, 37, 206, 189, 183] | edges=[(229, 202), (202, 225), (225, 187), (187, 127), (127, 150), (150, 205), (205, 254), (254, 177), (177, 189), (189, 206), (206, 37), (37, 164), (164, 240), (240, 216), (216, 212), (212, 732), (732, 34), (34, 729), (729, 730), (730, 561), (561, 2), (2, 503), (503, 349), (349, 653), (653, 364), (364, 316), (316, 364), (364, 653), (653, 313), (313, 343), (343, 326), (326, 357), (357, 324), (324, 744), (744, 298), (298, 743), (743, 277), (277, 335), (335, 271), (271, 519), (519, 520), (520, 740), (740, 741), (741, 652), (652, 744), (744, 324), (324, 357), (357, 326), (326, 343), (343, 313), (313, 503), (503, 2), (2, 561), (561, 730), (730, 729), (729, 34), (34, 732), (732, 212), (212, 216), (216, 240), (240, 164), (164, 37), (37, 206), (206, 189), (189, 183)]</t>
  </si>
  <si>
    <t xml:space="preserve">  seg#2 label=EQ#1 (r≈0.430) | end_step=50 | dist=1303.85 | cum=1303.85 | path=[183, 178, 175, 152, 37, 206, 189, 177, 254, 205, 150, 127, 172, 186, 129, 199, 260] | edges=[(183, 178), (178, 175), (175, 152), (152, 37), (37, 206), (206, 189), (189, 177), (177, 254), (254, 205), (205, 150), (150, 127), (127, 172), (172, 186), (186, 129), (129, 199), (199, 260)]</t>
  </si>
  <si>
    <t xml:space="preserve">  seg#3 label=EQ#2 (r≈0.455) | end_step=120 | dist=1923.48 | cum=3227.33 | path=[260, 182, 127, 187, 460, 472, 126, 84, 437, 471, 68, 484, 483, 464, 60, 604, 607, 61, 62, 578, 577, 576, 123, 120, 117] | edges=[(260, 182), (182, 127), (127, 187), (187, 460), (460, 472), (472, 126), (126, 84), (84, 437), (437, 471), (471, 68), (68, 484), (484, 483), (483, 464), (464, 60), (60, 604), (604, 607), (607, 61), (61, 62), (62, 578), (578, 577), (577, 576), (576, 123), (123, 120), (120, 117)]</t>
  </si>
  <si>
    <t xml:space="preserve">  seg#4 label=FINAL | end_step=246 | dist=3411.06 | cum=6638.39 | path=[117, 234, 153, 261, 226, 263, 144, 247, 616, 482, 490, 203, 236, 243, 185, 732, 34, 729, 730, 561, 2, 503, 349, 653, 364, 316, 364, 653, 349, 503, 2, 561, 730, 729, 34, 732, 212, 216, 240, 164, 37, 206, 189, 183] | edges=[(117, 234), (234, 153), (153, 261), (261, 226), (226, 263), (263, 144), (144, 247), (247, 616), (616, 482), (482, 490), (490, 203), (203, 236), (236, 243), (243, 185), (185, 732), (732, 34), (34, 729), (729, 730), (730, 561), (561, 2), (2, 503), (503, 349), (349, 653), (653, 364), (364, 316), (316, 364), (364, 653), (653, 349), (349, 503), (503, 2), (2, 561), (561, 730), (730, 729), (729, 34), (34, 732), (732, 212), (212, 216), (216, 240), (240, 164), (164, 37), (37, 206), (206, 189), (189, 183)] </t>
  </si>
  <si>
    <t>[RISK] critical degrees after protection: {183: 4, 196: 3, 271: 2, 316: 1, 438: 3, 464: 3}</t>
  </si>
  <si>
    <t>[SCENARIO 3] Depot=183</t>
  </si>
  <si>
    <t>[196, 271, 316, 438, 464]</t>
  </si>
  <si>
    <t>[RISK@try0] r=0.4698 | closed_before=119 | closed_after=119 | reopened=0 | open_ratio=89.9%</t>
  </si>
  <si>
    <t>[Graph change] nonzero edges changed: 238 (r≈0.470). Recompute SP ...</t>
  </si>
  <si>
    <t>Kapanan yol adedi (undirected): 119 | Açıklık oranı: 89.9%</t>
  </si>
  <si>
    <t>Kapanan yollar (i&lt;j): [(3, 555), (7, 354), (8, 323), (10, 42), (10, 557), (19, 41), (24, 721), (25, 217), (30, 695), (32, 550), (33, 575), (39, 133), (48, 638), (52, 548), (53, 637), (54, 55), (59, 384), (67, 79), (68, 69), (69, 215), (71, 484), (78, 816), (80, 428), (84, 122), (87, 676), (90, 634), (92, 683), (93, 603), (93, 728), (94, 746), (105, 106), (108, 477), (114, 433), (118, 235), (118, 265), (119, 142), (119, 201), (120, 162), (120, 481), (131, 150), (132, 486), (136, 170), (137, 170), (145, 148), (147, 710), (153, 154), (166, 171), (167, 675), (178, 206), (179, 193), (180, 264), (192, 248), (201, 726), (221, 232), (223, 261), (226, 487), (228, 238), (234, 250), (249, 665), (251, 264), (260, 676), (266, 512), (270, 278), (272, 304), (274, 300), (283, 308), (284, 318), (288, 529), (294, 514), (306, 587), (311, 322), (316, 364), (317, 528), (325, 540), (342, 367), (345, 364), (362, 375), (363, 371), (386, 571), (387, 400), (387, 818), (392, 400), (411, 427), (413, 416), (413, 424), (414, 431), (416, 427), (417, 419), (441, 444), (447, 456), (466, 613), (467, 473), (470, 471), (475, 613), (479, 561), (494, 620), (495, 565), (507, 508), (526, 671), (528, 529), (534, 535), (554, 556), (555, 632), (564, 630), (582, 735), (590, 591), (594, 595), (600, 601), (614, 615), (620, 621), (639, 641), (657, 661), (712, 713), (753, 760), (776, 778), (786, 797), (796, 797), (799, 800), (803, 804)]</t>
  </si>
  <si>
    <t>- Target 607: reachable ✓  distance=1060.31 | path: [69, 70, 72, 124, 215, 460, 472, 126, 84, 437, 470, 83, 483, 464, 606, 607]</t>
  </si>
  <si>
    <t>- Target 748: reachable ✓  distance=3179.78 | path: [69, 70, 72, 73, 76, 174, 570, 123, 576, 140, 380, 461, 462, 377, 130, 521, 522, 115, 756, 502, 112, 755, 477, 754, 108, 100, 107, 99, 103, 98, 748]</t>
  </si>
  <si>
    <t>- Target 20: reachable ✓  distance=1605.26 | path: [69, 70, 72, 124, 215, 460, 187, 225, 205, 254, 177, 143, 183, 178, 175, 207, 141, 197, 643, 737, 157, 642, 20]</t>
  </si>
  <si>
    <t xml:space="preserve">- Target 43: reachable ✓  distance=2138.61 | path: [69, 70, 72, 124, 215, 460, 187, 225, 205, 254, 177, 143, 183, 178, 175, 207, 141, 197, 643, 737, 157, 642, 635, 636, 302, 53, 321, 638, 44, 43]    </t>
  </si>
  <si>
    <t>[veh=0] start=69 -&gt; end=69 | nodes=[69] | edges=[] | seg_dist=0.00 | cum_dist=0.00</t>
  </si>
  <si>
    <t>[veh=1] start=69 -&gt; end=69 | nodes=[69] | edges=[] | seg_dist=0.00 | cum_dist=0.00</t>
  </si>
  <si>
    <t>[veh=2] start=69 -&gt; end=69 | nodes=[69] | edges=[] | seg_dist=0.00 | cum_dist=0.00</t>
  </si>
  <si>
    <t>step=50 | hedef_açıklık≈88.0% | r≈0.430 | açık_oranı=84.8% | değişen_hücre=120</t>
  </si>
  <si>
    <t>Kapanan yollar (i&lt;j): [(0, 664), (5, 556), (13, 16), (24, 640), (31, 32), (46, 47), (76, 235), (82, 390), (90, 603), (93, 319), (94, 766), (95, 725), (102, 104), (102, 812), (110, 618), (115, 419), (116, 625), (122, 198), (125, 192), (128, 264), (172, 186), (179, 220), (188, 220), (194, 692), (210, 236), (245, 260), (271, 329), (279, 628), (296, 320), (296, 734), (320, 647), (327, 351), (334, 501), (341, 344), (352, 361), (357, 361), (381, 386), (382, 383), (400, 401), (402, 579), (433, 434), (442, 448), (445, 450), (450, 451), (479, 704), (509, 511), (534, 537), (563, 566), (573, 695), (580, 581), (585, 586), (639, 640), (656, 661), (672, 728), (713, 715), (767, 768), (768, 770), (779, 785), (783, 795), (788, 798)]</t>
  </si>
  <si>
    <t>[veh=0] start=69 -&gt; end=62 | nodes=[69, 70, 72, 124, 215, 460, 472, 126, 84, 437, 470, 83, 483, 464, 606, 607, 61, 62] | edges=[(69, 70), (70, 72), (72, 124), (124, 215), (215, 460), (460, 472), (472, 126), (126, 84), (84, 437), (437, 470), (470, 83), (83, 483), (483, 464), (464, 606), (606, 607), (607, 61), (61, 62)] | seg_dist=1235.83 | cum_dist=1235.83</t>
  </si>
  <si>
    <t>[veh=1] start=69 -&gt; end=62 | nodes=[69, 70, 72, 124, 215, 460, 472, 126, 84, 437, 470, 83, 483, 464, 606, 607, 61, 62] | edges=[(69, 70), (70, 72), (72, 124), (124, 215), (215, 460), (460, 472), (472, 126), (126, 84), (84, 437), (437, 470), (470, 83), (83, 483), (483, 464), (464, 606), (606, 607), (607, 61), (61, 62)] | seg_dist=1235.83 | cum_dist=1235.83</t>
  </si>
  <si>
    <t>[veh=2] start=69 -&gt; end=61 | nodes=[69, 70, 72, 124, 215, 460, 472, 126, 84, 437, 470, 83, 483, 464, 606, 607, 61] | edges=[(69, 70), (70, 72), (72, 124), (124, 215), (215, 460), (460, 472), (472, 126), (126, 84), (84, 437), (437, 470), (470, 83), (83, 483), (483, 464), (464, 606), (606, 607), (607, 61)] | seg_dist=1166.11 | cum_dist=1166.11</t>
  </si>
  <si>
    <t>step=120 | hedef_açıklık≈92.0% | r≈0.455 | açık_oranı=84.7% | değişen_hücre=2</t>
  </si>
  <si>
    <t>Kapanan yollar (i&lt;j): [(83, 483)]</t>
  </si>
  <si>
    <t>[veh=0] start=62 -&gt; end=175 | nodes=[62, 66, 605, 764, 763, 60, 464, 483, 83, 470, 437, 84, 126, 472, 172, 127, 150, 205, 254, 177, 143, 183, 178, 175] | edges=[(62, 66), (66, 605), (605, 764), (764, 763), (763, 60), (60, 464), (464, 483), (483, 83), (83, 470), (470, 437), (437, 84), (84, 126), (126, 472), (472, 172), (172, 127), (127, 150), (150, 205), (205, 254), (254, 177), (177, 143), (143, 183), (183, 178), (178, 175)] | seg_dist=1577.71 | cum_dist=2813.54</t>
  </si>
  <si>
    <t>[veh=1] start=62 -&gt; end=175 | nodes=[62, 66, 605, 764, 763, 60, 464, 483, 83, 470, 437, 84, 126, 472, 172, 127, 150, 205, 254, 177, 143, 183, 178, 175] | edges=[(62, 66), (66, 605), (605, 764), (764, 763), (763, 60), (60, 464), (464, 483), (483, 83), (83, 470), (470, 437), (437, 84), (84, 126), (126, 472), (472, 172), (172, 127), (127, 150), (150, 205), (205, 254), (254, 177), (177, 143), (143, 183), (183, 178), (178, 175)] | seg_dist=1577.71 | cum_dist=2813.54</t>
  </si>
  <si>
    <t>[veh=2] start=61 -&gt; end=175 | nodes=[61, 62, 66, 605, 764, 763, 60, 464, 483, 83, 470, 437, 84, 126, 472, 172, 127, 150, 205, 254, 177, 143, 183, 178, 175] | edges=[(61, 62), (62, 66), (66, 605), (605, 764), (764, 763), (763, 60), (60, 464), (464, 483), (483, 83), (83, 470), (470, 437), (437, 84), (84, 126), (126, 472), (472, 172), (172, 127), (127, 150), (150, 205), (205, 254), (254, 177), (177, 143), (143, 183), (183, 178), (178, 175)] | seg_dist=1647.43 | cum_dist=2813.54</t>
  </si>
  <si>
    <t>[TEST] veh=0 terminal reason=empty_home, loc=69, steps_since_delivery=13</t>
  </si>
  <si>
    <t>[TEST] veh=2 terminal reason=empty_home, loc=69, steps_since_delivery=63</t>
  </si>
  <si>
    <t>[TEST] veh=1 terminal reason=solved, loc=69, steps_since_delivery=33</t>
  </si>
  <si>
    <t>[veh=0] start=175 -&gt; end=69 | nodes=[175, 207, 141, 197, 643, 737, 157, 642, 20, 635, 642, 157, 737, 643, 197, 141, 207, 175, 178, 183, 143, 177, 254, 205, 225, 187, 460, 215, 124, 72, 70, 69] | edges=[(175, 207), (207, 141), (141, 197), (197, 643), (643, 737), (737, 157), (157, 642), (642, 20), (20, 635), (635, 642), (642, 157), (157, 737), (737, 643), (643, 197), (197, 141), (141, 207), (207, 175), (175, 178), (178, 183), (183, 143), (143, 177), (177, 254), (254, 205), (205, 225), (225, 187), (187, 460), (460, 215), (215, 124), (124, 72), (72, 70), (70, 69)] | seg_dist=2129.24 | cum_dist=4942.78</t>
  </si>
  <si>
    <t>[veh=1] start=175 -&gt; end=69 | nodes=[175, 207, 141, 197, 643, 737, 157, 642, 15, 16, 558, 559, 560, 33, 41, 249, 40, 158, 35, 19, 559, 558, 16, 15, 14, 636, 302, 274, 515, 300, 321, 53, 302, 636, 635, 642, 157, 19, 35, 158, 36, 38, 164, 240, 156, 210, 180, 208, 203, 490, 482, 616, 247, 195, 626, 666, 168, 137, 209, 377, 130, 521, 522, 115, 756, 502, 112, 755, 477, 754, 108, 100, 107, 99, 103, 98, 748, 96, 747, 748, 98, 103, 99, 107, 100, 108, 754, 477, 755, 112, 502, 756, 115, 522, 521, 130, 377, 462, 461, 380, 140, 576, 123, 570, 174, 76, 73, 72, 70, 69] | edges=[(175, 207), (207, 141), (141, 197), (197, 643), (643, 737), (737, 157), (157, 642), (642, 15), (15, 16), (16, 558), (558, 559), (559, 560), (560, 33), (33, 41), (41, 249), (249, 40), (40, 158), (158, 35), (35, 19), (19, 559), (559, 558), (558, 16), (16, 15), (15, 14), (14, 636), (636, 302), (302, 274), (274, 515), (515, 300), (300, 321), (321, 53), (53, 302), (302, 636), (636, 635), (635, 642), (642, 157), (157, 19), (19, 35), (35, 158), (158, 36), (36, 38), (38, 164), (164, 240), (240, 156), (156, 210), (210, 180), (180, 208), (208, 203), (203, 490), (490, 482), (482, 616), (616, 247), (247, 195), (195, 626), (626, 666), (666, 168), (168, 137), (137, 209), (209,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462), (462, 461), (461, 380), (380, 140), (140, 576), (576, 123), (123, 570), (570, 174), (174, 76), (76, 73), (73, 72), (72, 70), (70, 69)] | seg_dist=9953.77 | cum_dist=12767.31</t>
  </si>
  <si>
    <t>[veh=2] start=175 -&gt; end=69 | nodes=[175, 207, 141, 197, 643, 737, 157, 642, 15, 16, 558, 13, 733, 699, 704, 3, 376, 362, 4, 5, 6, 649, 339, 648, 651, 436, 43, 44, 638, 321, 53, 302, 636, 635, 642, 157, 737, 643, 197, 141, 207, 175, 178, 183, 143, 177, 254, 205, 225, 187, 460, 215, 124, 72, 70, 69] | edges=[(175, 207), (207, 141), (141, 197), (197, 643), (643, 737), (737, 157), (157, 642), (642, 15), (15, 16), (16, 558), (558, 13), (13, 733), (733, 699), (699, 704), (704, 3), (3, 376), (376, 362), (362, 4), (4, 5), (5, 6), (6, 649), (649, 339), (339, 648), (648, 651), (651, 436), (436, 43), (43, 44), (44, 638), (638, 321), (321, 53), (53, 302), (302, 636), (636, 635), (635, 642), (642, 157), (157, 737), (737, 643), (643, 197), (197, 141), (141, 207), (207, 175), (175, 178), (178, 183), (183, 143), (143, 177), (177, 254), (254, 205), (205, 225), (225, 187), (187, 460), (460, 215), (215, 124), (124, 72), (72, 70), (70, 69)] | seg_dist=3627.73 | cum_dist=6441.27</t>
  </si>
  <si>
    <t>Total shaped reward: 12.583 | deliveries=4 | backtracks=0</t>
  </si>
  <si>
    <t xml:space="preserve">  veh 0: end_loc=69, cap_left=0, delivered=2, distance=4942.78</t>
  </si>
  <si>
    <t xml:space="preserve">  route (full nodes): [69, 70, 72, 124, 215, 460, 472, 126, 84, 437, 470, 83, 483, 464, 606, 607, 61, 62, 66, 605, 764, 763, 60, 464, 483, 83, 470, 437, 84, 126, 472, 172, 127, 150, 205, 254, 177, 143, 183, 178, 175, 207, 141, 197, 643, 737, 157, 642, 20, 635, 642, 157, 737, 643, 197, 141, 207, 175, 178, 183, 143, 177, 254, 205, 225, 187, 460, 215, 124, 72, 70, 69]</t>
  </si>
  <si>
    <t xml:space="preserve">  route (full edges): [(69, 70), (70, 72), (72, 124), (124, 215), (215, 460), (460, 472), (472, 126), (126, 84), (84, 437), (437, 470), (470, 83), (83, 483), (483, 464), (464, 606), (606, 607), (607, 61), (61, 62), (62, 66), (66, 605), (605, 764), (764, 763), (763, 60), (60, 464), (464, 483), (483, 83), (83, 470), (470, 437), (437, 84), (84, 126), (126, 472), (472, 172), (172, 127), (127, 150), (150, 205), (205, 254), (254, 177), (177, 143), (143, 183), (183, 178), (178, 175), (175, 207), (207, 141), (141, 197), (197, 643), (643, 737), (737, 157), (157, 642), (642, 20), (20, 635), (635, 642), (642, 157), (157, 737), (737, 643), (643, 197), (197, 141), (141, 207), (207, 175), (175, 178), (178, 183), (183, 143), (143, 177), (177, 254), (254, 205), (205, 225), (225, 187), (187, 460), (460, 215), (215, 124), (124, 72), (72, 70), (70, 69)]</t>
  </si>
  <si>
    <t xml:space="preserve">  veh 1: end_loc=69, cap_left=0, delivered=1, distance=12767.31</t>
  </si>
  <si>
    <t xml:space="preserve">  route (full nodes): [69, 70, 72, 124, 215, 460, 472, 126, 84, 437, 470, 83, 483, 464, 606, 607, 61, 62, 66, 605, 764, 763, 60, 464, 483, 83, 470, 437, 84, 126, 472, 172, 127, 150, 205, 254, 177, 143, 183, 178, 175, 207, 141, 197, 643, 737, 157, 642, 15, 16, 558, 559, 560, 33, 41, 249, 40, 158, 35, 19, 559, 558, 16, 15, 14, 636, 302, 274, 515, 300, 321, 53, 302, 636, 635, 642, 157, 19, 35, 158, 36, 38, 164, 240, 156, 210, 180, 208, 203, 490, 482, 616, 247, 195, 626, 666, 168, 137, 209, 377, 130, 521, 522, 115, 756, 502, 112, 755, 477, 754, 108, 100, 107, 99, 103, 98, 748, 96, 747, 748, 98, 103, 99, 107, 100, 108, 754, 477, 755, 112, 502, 756, 115, 522, 521, 130, 377, 462, 461, 380, 140, 576, 123, 570, 174, 76, 73, 72, 70, 69]</t>
  </si>
  <si>
    <t xml:space="preserve">  route (full edges): [(69, 70), (70, 72), (72, 124), (124, 215), (215, 460), (460, 472), (472, 126), (126, 84), (84, 437), (437, 470), (470, 83), (83, 483), (483, 464), (464, 606), (606, 607), (607, 61), (61, 62), (62, 66), (66, 605), (605, 764), (764, 763), (763, 60), (60, 464), (464, 483), (483, 83), (83, 470), (470, 437), (437, 84), (84, 126), (126, 472), (472, 172), (172, 127), (127, 150), (150, 205), (205, 254), (254, 177), (177, 143), (143, 183), (183, 178), (178, 175), (175, 207), (207, 141), (141, 197), (197, 643), (643, 737), (737, 157), (157, 642), (642, 15), (15, 16), (16, 558), (558, 559), (559, 560), (560, 33), (33, 41), (41, 249), (249, 40), (40, 158), (158, 35), (35, 19), (19, 559), (559, 558), (558, 16), (16, 15), (15, 14), (14, 636), (636, 302), (302, 274), (274, 515), (515, 300), (300, 321), (321, 53), (53, 302), (302, 636), (636, 635), (635, 642), (642, 157), (157, 19), (19, 35), (35, 158), (158, 36), (36, 38), (38, 164), (164, 240), (240, 156), (156, 210), (210, 180), (180, 208), (208, 203), (203, 490), (490, 482), (482, 616), (616, 247), (247, 195), (195, 626), (626, 666), (666, 168), (168, 137), (137, 209), (209,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462), (462, 461), (461, 380), (380, 140), (140, 576), (576, 123), (123, 570), (570, 174), (174, 76), (76, 73), (73, 72), (72, 70), (70, 69)]</t>
  </si>
  <si>
    <t xml:space="preserve">  veh 2: end_loc=69, cap_left=0, delivered=1, distance=6441.27</t>
  </si>
  <si>
    <t xml:space="preserve">  route (full nodes): [69, 70, 72, 124, 215, 460, 472, 126, 84, 437, 470, 83, 483, 464, 606, 607, 61, 62, 66, 605, 764, 763, 60, 464, 483, 83, 470, 437, 84, 126, 472, 172, 127, 150, 205, 254, 177, 143, 183, 178, 175, 207, 141, 197, 643, 737, 157, 642, 15, 16, 558, 13, 733, 699, 704, 3, 376, 362, 4, 5, 6, 649, 339, 648, 651, 436, 43, 44, 638, 321, 53, 302, 636, 635, 642, 157, 737, 643, 197, 141, 207, 175, 178, 183, 143, 177, 254, 205, 225, 187, 460, 215, 124, 72, 70, 69]</t>
  </si>
  <si>
    <t xml:space="preserve">  route (full edges): [(69, 70), (70, 72), (72, 124), (124, 215), (215, 460), (460, 472), (472, 126), (126, 84), (84, 437), (437, 470), (470, 83), (83, 483), (483, 464), (464, 606), (606, 607), (607, 61), (61, 62), (62, 66), (66, 605), (605, 764), (764, 763), (763, 60), (60, 464), (464, 483), (483, 83), (83, 470), (470, 437), (437, 84), (84, 126), (126, 472), (472, 172), (172, 127), (127, 150), (150, 205), (205, 254), (254, 177), (177, 143), (143, 183), (183, 178), (178, 175), (175, 207), (207, 141), (141, 197), (197, 643), (643, 737), (737, 157), (157, 642), (642, 15), (15, 16), (16, 558), (558, 13), (13, 733), (733, 699), (699, 704), (704, 3), (3, 376), (376, 362), (362, 4), (4, 5), (5, 6), (6, 649), (649, 339), (339, 648), (648, 651), (651, 436), (436, 43), (43, 44), (44, 638), (638, 321), (321, 53), (53, 302), (302, 636), (636, 635), (635, 642), (642, 157), (157, 737), (737, 643), (643, 197), (197, 141), (141, 207), (207, 175), (175, 178), (178, 183), (183, 143), (143, 177), (177, 254), (254, 205), (205, 225), (225, 187), (187, 460), (460, 215), (215, 124), (124, 72), (72, 70), (70, 69)]</t>
  </si>
  <si>
    <t xml:space="preserve">  seg#1 label=EQ#1 (initial) | end_step=0 | dist=0.00 | cum=0.00 | path=[69] | edges=[]</t>
  </si>
  <si>
    <t xml:space="preserve">  seg#2 label=EQ#1 (r≈0.430) | end_step=50 | dist=1235.83 | cum=1235.83 | path=[69, 70, 72, 124, 215, 460, 472, 126, 84, 437, 470, 83, 483, 464, 606, 607, 61, 62] | edges=[(69, 70), (70, 72), (72, 124), (124, 215), (215, 460), (460, 472), (472, 126), (126, 84), (84, 437), (437, 470), (470, 83), (83, 483), (483, 464), (464, 606), (606, 607), (607, 61), (61, 62)]</t>
  </si>
  <si>
    <t xml:space="preserve">  seg#3 label=EQ#2 (r≈0.455) | end_step=120 | dist=1577.71 | cum=2813.54 | path=[62, 66, 605, 764, 763, 60, 464, 483, 83, 470, 437, 84, 126, 472, 172, 127, 150, 205, 254, 177, 143, 183, 178, 175] | edges=[(62, 66), (66, 605), (605, 764), (764, 763), (763, 60), (60, 464), (464, 483), (483, 83), (83, 470), (470, 437), (437, 84), (84, 126), (126, 472), (472, 172), (172, 127), (127, 150), (150, 205), (205, 254), (254, 177), (177, 143), (143, 183), (183, 178), (178, 175)]</t>
  </si>
  <si>
    <t xml:space="preserve">  seg#4 label=FINAL | end_step=315 | dist=2129.24 | cum=4942.78 | path=[175, 207, 141, 197, 643, 737, 157, 642, 20, 635, 642, 157, 737, 643, 197, 141, 207, 175, 178, 183, 143, 177, 254, 205, 225, 187, 460, 215, 124, 72, 70, 69] | edges=[(175, 207), (207, 141), (141, 197), (197, 643), (643, 737), (737, 157), (157, 642), (642, 20), (20, 635), (635, 642), (642, 157), (157, 737), (737, 643), (643, 197), (197, 141), (141, 207), (207, 175), (175, 178), (178, 183), (183, 143), (143, 177), (177, 254), (254, 205), (205, 225), (225, 187), (187, 460), (460, 215), (215, 124), (124, 72), (72, 70), (70, 69)]</t>
  </si>
  <si>
    <t xml:space="preserve">  seg#4 label=FINAL | end_step=315 | dist=9953.77 | cum=12767.31 | path=[175, 207, 141, 197, 643, 737, 157, 642, 15, 16, 558, 559, 560, 33, 41, 249, 40, 158, 35, 19, 559, 558, 16, 15, 14, 636, 302, 274, 515, 300, 321, 53, 302, 636, 635, 642, 157, 19, 35, 158, 36, 38, 164, 240, 156, 210, 180, 208, 203, 490, 482, 616, 247, 195, 626, 666, 168, 137, 209, 377, 130, 521, 522, 115, 756, 502, 112, 755, 477, 754, 108, 100, 107, 99, 103, 98, 748, 96, 747, 748, 98, 103, 99, 107, 100, 108, 754, 477, 755, 112, 502, 756, 115, 522, 521, 130, 377, 462, 461, 380, 140, 576, 123, 570, 174, 76, 73, 72, 70, 69] | edges=[(175, 207), (207, 141), (141, 197), (197, 643), (643, 737), (737, 157), (157, 642), (642, 15), (15, 16), (16, 558), (558, 559), (559, 560), (560, 33), (33, 41), (41, 249), (249, 40), (40, 158), (158, 35), (35, 19), (19, 559), (559, 558), (558, 16), (16, 15), (15, 14), (14, 636), (636, 302), (302, 274), (274, 515), (515, 300), (300, 321), (321, 53), (53, 302), (302, 636), (636, 635), (635, 642), (642, 157), (157, 19), (19, 35), (35, 158), (158, 36), (36, 38), (38, 164), (164, 240), (240, 156), (156, 210), (210, 180), (180, 208), (208, 203), (203, 490), (490, 482), (482, 616), (616, 247), (247, 195), (195, 626), (626, 666), (666, 168), (168, 137), (137, 209), (209,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462), (462, 461), (461, 380), (380, 140), (140, 576), (576, 123), (123, 570), (570, 174), (174, 76), (76, 73), (73, 72), (72, 70), (70, 69)]</t>
  </si>
  <si>
    <t xml:space="preserve">  seg#2 label=EQ#1 (r≈0.430) | end_step=50 | dist=1166.11 | cum=1166.11 | path=[69, 70, 72, 124, 215, 460, 472, 126, 84, 437, 470, 83, 483, 464, 606, 607, 61] | edges=[(69, 70), (70, 72), (72, 124), (124, 215), (215, 460), (460, 472), (472, 126), (126, 84), (84, 437), (437, 470), (470, 83), (83, 483), (483, 464), (464, 606), (606, 607), (607, 61)]</t>
  </si>
  <si>
    <t xml:space="preserve">  seg#3 label=EQ#2 (r≈0.455) | end_step=120 | dist=1647.43 | cum=2813.54 | path=[61, 62, 66, 605, 764, 763, 60, 464, 483, 83, 470, 437, 84, 126, 472, 172, 127, 150, 205, 254, 177, 143, 183, 178, 175] | edges=[(61, 62), (62, 66), (66, 605), (605, 764), (764, 763), (763, 60), (60, 464), (464, 483), (483, 83), (83, 470), (470, 437), (437, 84), (84, 126), (126, 472), (472, 172), (172, 127), (127, 150), (150, 205), (205, 254), (254, 177), (177, 143), (143, 183), (183, 178), (178, 175)]</t>
  </si>
  <si>
    <t xml:space="preserve">  seg#4 label=FINAL | end_step=315 | dist=3627.73 | cum=6441.27 | path=[175, 207, 141, 197, 643, 737, 157, 642, 15, 16, 558, 13, 733, 699, 704, 3, 376, 362, 4, 5, 6, 649, 339, 648, 651, 436, 43, 44, 638, 321, 53, 302, 636, 635, 642, 157, 737, 643, 197, 141, 207, 175, 178, 183, 143, 177, 254, 205, 225, 187, 460, 215, 124, 72, 70, 69] | edges=[(175, 207), (207, 141), (141, 197), (197, 643), (643, 737), (737, 157), (157, 642), (642, 15), (15, 16), (16, 558), (558, 13), (13, 733), (733, 699), (699, 704), (704, 3), (3, 376), (376, 362), (362, 4), (4, 5), (5, 6), (6, 649), (649, 339), (339, 648), (648, 651), (651, 436), (436, 43), (43, 44), (44, 638), (638, 321), (321, 53), (53, 302), (302, 636), (636, 635), (635, 642), (642, 157), (157, 737), (737, 643), (643, 197), (197, 141), (141, 207), (207, 175), (175, 178), (178, 183), (183, 143), (143, 177), (177, 254), (254, 205), (205, 225), (225, 187), (187, 460), (460, 215), (215, 124), (124, 72), (72, 70), (70, 69)]</t>
  </si>
  <si>
    <t>[RISK] critical degrees after protection: {69: 1, 20: 5, 43: 4, 607: 3, 748: 3}</t>
  </si>
  <si>
    <t>[RISK@try0] r=0.4720 | closed_before=112 | closed_after=112 | reopened=0 | open_ratio=90.5%</t>
  </si>
  <si>
    <t>[Graph change] nonzero edges changed: 224 (r≈0.472). Recompute SP ...</t>
  </si>
  <si>
    <t>Kapanan yol adedi (undirected): 112 | Açıklık oranı: 90.5%</t>
  </si>
  <si>
    <t>Kapanan yollar (i&lt;j): [(3, 555), (7, 354), (8, 323), (10, 42), (10, 557), (19, 41), (24, 721), (25, 217), (39, 133), (48, 638), (52, 548), (53, 637), (54, 55), (59, 384), (67, 79), (68, 69), (69, 215), (71, 484), (78, 816), (80, 428), (84, 122), (87, 676), (90, 634), (92, 683), (93, 603), (93, 728), (94, 746), (105, 106), (108, 477), (114, 433), (118, 235), (118, 265), (119, 142), (119, 201), (120, 162), (120, 481), (131, 150), (132, 486), (137, 170), (147, 710), (153, 154), (166, 171), (167, 675), (178, 206), (179, 193), (180, 264), (192, 248), (201, 726), (223, 261), (226, 487), (228, 238), (234, 250), (249, 665), (251, 264), (260, 676), (266, 512), (270, 278), (272, 304), (274, 300), (283, 308), (284, 318), (288, 529), (294, 514), (306, 587), (311, 322), (317, 528), (325, 540), (342, 367), (345, 364), (362, 375), (363, 371), (386, 571), (387, 400), (387, 818), (392, 400), (411, 427), (413, 416), (413, 424), (414, 431), (416, 427), (417, 419), (441, 444), (447, 456), (466, 613), (467, 473), (470, 471), (475, 613), (479, 561), (494, 620), (495, 565), (507, 508), (526, 671), (528, 529), (534, 535), (554, 556), (555, 632), (564, 630), (582, 735), (590, 591), (594, 595), (600, 601), (614, 615), (620, 621), (639, 641), (657, 661), (712, 713), (753, 760), (776, 778), (786, 797), (796, 797), (799, 800), (803, 804)]</t>
  </si>
  <si>
    <t>- Target 316: reachable ✓  distance=1572.19 | path: [242, 171, 128, 214, 251, 156, 240, 216, 212, 732, 34, 729, 730, 561, 2, 503, 349, 653, 364, 316]</t>
  </si>
  <si>
    <t>- Target 748: reachable ✓  distance=3346.41 | path: [242, 485, 166, 125, 192, 232, 233, 144, 247, 195, 626, 666, 168, 137, 209, 377, 130, 521, 522, 115, 756, 502, 112, 755, 477, 754, 108, 100, 107, 99, 103, 98, 748]</t>
  </si>
  <si>
    <t>- Target 811: reachable ✓  distance=2873.43 | path: [242, 485, 166, 125, 192, 232, 233, 144, 247, 195, 626, 666, 168, 137, 209, 377, 130, 521, 522, 115, 756, 502, 112, 655, 656, 811]</t>
  </si>
  <si>
    <t>- Target 678: reachable ✓  distance=1673.01 | path: [242, 171, 128, 214, 251, 156, 240, 216, 212, 732, 34, 729, 730, 561, 2, 503, 349, 346, 345, 678]</t>
  </si>
  <si>
    <t>- Target 350: reachable ✓  distance=1481.28 | path: [242, 171, 128, 214, 251, 156, 240, 216, 212, 732, 34, 729, 730, 561, 2, 503, 313, 343, 326, 374, 368, 350]</t>
  </si>
  <si>
    <t>[veh=0] start=242 -&gt; end=242 | nodes=[242] | edges=[] | seg_dist=0.00 | cum_dist=0.00</t>
  </si>
  <si>
    <t>[veh=1] start=242 -&gt; end=242 | nodes=[242] | edges=[] | seg_dist=0.00 | cum_dist=0.00</t>
  </si>
  <si>
    <t>[veh=2] start=242 -&gt; end=242 | nodes=[242] | edges=[] | seg_dist=0.00 | cum_dist=0.00</t>
  </si>
  <si>
    <t>step=50 | hedef_açıklık≈88.0% | r≈0.430 | açık_oranı=85.4% | değişen_hücre=120</t>
  </si>
  <si>
    <t>Kapanan yollar (i&lt;j): [(0, 664), (24, 640), (30, 695), (32, 550), (33, 575), (43, 44), (46, 47), (73, 76), (82, 390), (83, 483), (90, 603), (93, 319), (94, 766), (95, 725), (102, 104), (110, 618), (115, 419), (116, 625), (122, 198), (128, 264), (136, 170), (143, 177), (145, 148), (172, 186), (188, 220), (194, 692), (210, 236), (221, 232), (245, 260), (271, 329), (296, 320), (296, 734), (320, 647), (327, 351), (334, 501), (352, 361), (357, 361), (381, 386), (382, 383), (400, 401), (433, 434), (445, 450), (450, 451), (479, 704), (509, 511), (534, 537), (563, 566), (573, 695), (580, 581), (585, 586), (635, 636), (635, 642), (656, 661), (672, 728), (713, 715), (767, 768), (768, 770), (779, 785), (783, 795), (788, 798)]</t>
  </si>
  <si>
    <t>[veh=0] start=242 -&gt; end=558 | nodes=[242, 485, 132, 202, 225, 205, 254, 177, 189, 206, 37, 152, 36, 158, 35, 19, 559, 558] | edges=[(242, 485), (485, 132), (132, 202), (202, 225), (225, 205), (205, 254), (254, 177), (177, 189), (189, 206), (206, 37), (37, 152), (152, 36), (36, 158), (158, 35), (35, 19), (19, 559), (559, 558)] | seg_dist=1405.24 | cum_dist=1405.24</t>
  </si>
  <si>
    <t>[veh=1] start=242 -&gt; end=558 | nodes=[242, 485, 132, 202, 225, 205, 254, 177, 189, 206, 37, 152, 36, 158, 35, 19, 559, 558] | edges=[(242, 485), (485, 132), (132, 202), (202, 225), (225, 205), (205, 254), (254, 177), (177, 189), (189, 206), (206, 37), (37, 152), (152, 36), (36, 158), (158, 35), (35, 19), (19, 559), (559, 558)] | seg_dist=1405.24 | cum_dist=1405.24</t>
  </si>
  <si>
    <t>[veh=2] start=242 -&gt; end=559 | nodes=[242, 485, 132, 202, 225, 205, 254, 177, 189, 206, 37, 152, 36, 158, 35, 19, 559] | edges=[(242, 485), (485, 132), (132, 202), (202, 225), (225, 205), (205, 254), (254, 177), (177, 189), (189, 206), (206, 37), (37, 152), (152, 36), (36, 158), (158, 35), (35, 19), (19, 559)] | seg_dist=1343.36 | cum_dist=1343.36</t>
  </si>
  <si>
    <t>step=120 | hedef_açıklık≈92.0% | r≈0.455 | açık_oranı=84.4% | değişen_hücre=24</t>
  </si>
  <si>
    <t>Bu olayda kapanan yol adedi (undirected): 12</t>
  </si>
  <si>
    <t>Kapanan yollar (i&lt;j): [(5, 556), (13, 16), (31, 32), (76, 235), (102, 812), (179, 220), (279, 628), (316, 364), (341, 344), (402, 579), (442, 448), (639, 640)]</t>
  </si>
  <si>
    <t>[veh=0] start=558 -&gt; end=503 | nodes=[558, 13, 733, 699, 704, 3, 478, 350, 368, 479, 368, 374, 326, 343, 313, 503, 349, 653, 364, 316, 364, 653, 349, 503] | edges=[(558, 13), (13, 733), (733, 699), (699, 704), (704, 3), (3, 478), (478, 350), (350, 368), (368, 479), (479, 368), (368, 374), (374, 326), (326, 343), (343, 313), (313, 503), (503, 349), (349, 653), (653, 364), (364, 316), (316, 364), (364, 653), (653, 349), (349, 503)] | seg_dist=1811.08 | cum_dist=3216.33</t>
  </si>
  <si>
    <t>[veh=1] start=558 -&gt; end=346 | nodes=[558, 13, 733, 699, 704, 3, 478, 350, 368, 479, 368, 374, 326, 343, 313, 503, 349, 653, 364, 316, 364, 653, 349, 346] | edges=[(558, 13), (13, 733), (733, 699), (699, 704), (704, 3), (3, 478), (478, 350), (350, 368), (368, 479), (479, 368), (368, 374), (374, 326), (326, 343), (343, 313), (313, 503), (503, 349), (349, 653), (653, 364), (364, 316), (316, 364), (364, 653), (653, 349), (349, 346)] | seg_dist=1902.13 | cum_dist=3307.37</t>
  </si>
  <si>
    <t>[veh=2] start=559 -&gt; end=346 | nodes=[559, 558, 13, 733, 699, 704, 3, 478, 350, 368, 479, 368, 374, 326, 343, 313, 503, 349, 653, 364, 316, 364, 653, 349, 346] | edges=[(559, 558), (558, 13), (13, 733), (733, 699), (699, 704), (704, 3), (3, 478), (478, 350), (350, 368), (368, 479), (479, 368), (368, 374), (374, 326), (326, 343), (343, 313), (313, 503), (503, 349), (349, 653), (653, 364), (364, 316), (316, 364), (364, 653), (653, 349), (349, 346)] | seg_dist=1964.01 | cum_dist=3307.37</t>
  </si>
  <si>
    <t>[TEST] veh=0 terminal reason=empty_home, loc=242, steps_since_delivery=38</t>
  </si>
  <si>
    <t>[TEST] veh=1 terminal reason=vehicle_home, loc=242, steps_since_delivery=23</t>
  </si>
  <si>
    <t>[TEST] veh=2 terminal reason=solved, loc=242, steps_since_delivery=47</t>
  </si>
  <si>
    <t>[veh=0] start=503 -&gt; end=242 | nodes=[503, 2, 561, 730, 729, 34, 732, 212, 216, 240, 156, 251, 214, 128, 171, 242] | edges=[(503, 2), (2, 561), (561, 730), (730, 729), (729, 34), (34, 732), (732, 212), (212, 216), (216, 240), (240, 156), (156, 251), (251, 214), (214, 128), (128, 171), (171, 242)] | seg_dist=1163.37 | cum_dist=4379.70</t>
  </si>
  <si>
    <t>[veh=1] start=346 -&gt; end=242 | nodes=[346, 345, 678, 345, 627, 365, 331, 366, 631, 373, 500, 498, 319, 305, 669, 666, 168, 137, 209, 377, 130, 521, 522, 115, 756, 502, 112, 655, 656, 811, 821, 811, 656, 655, 112, 502, 756, 115, 522, 521, 130, 377, 209, 137, 168, 666, 626, 195, 247, 144, 233, 232, 192, 125, 166, 485, 242] | edges=[(346, 345), (345, 678), (678, 345), (345, 627), (627, 365), (365, 331), (331, 366), (366, 631), (631, 373), (373, 500), (500, 498), (498, 319), (319, 305), (305, 669), (669, 666), (666, 168), (168, 137), (137, 209), (209, 377), (377, 130), (130, 521), (521, 522), (522, 115), (115, 756), (756, 502), (502, 112), (112, 655), (655, 656), (656, 811), (811, 821), (821, 811), (811, 656), (656, 655), (655, 112), (112, 502), (502, 756), (756, 115), (115, 522), (522, 521), (521, 130), (130, 377), (377, 209), (209, 137), (137, 168), (168, 666), (666, 626), (626, 195), (195, 247), (247, 144), (144, 233), (233, 232), (232, 192), (192, 125), (125, 166), (166, 485), (485, 242)] | seg_dist=6597.01 | cum_dist=9904.38</t>
  </si>
  <si>
    <t>[veh=2] start=346 -&gt; end=242 | nodes=[346, 345, 678, 345, 627, 365, 331, 366, 631, 373, 500, 498, 319, 305, 669, 666, 168, 137, 209, 377, 130, 521, 522, 115, 756, 502, 112, 655, 656, 811, 821, 811, 656, 655, 113, 755, 477, 754, 108, 100, 107, 99, 103, 98, 748, 96, 747, 748, 98, 103, 99, 107, 100, 108, 754, 477, 755, 112, 502, 756, 115, 522, 521, 130, 377, 209, 137, 168, 666, 626, 195, 247, 144, 233, 232, 192, 125, 166, 485, 242] | edges=[(346, 345), (345, 678), (678, 345), (345, 627), (627, 365), (365, 331), (331, 366), (366, 631), (631, 373), (373, 500), (500, 498), (498, 319), (319, 305), (305, 669), (669, 666), (666, 168), (168, 137), (137, 209), (209, 377), (377, 130), (130, 521), (521, 522), (522, 115), (115, 756), (756, 502), (502, 112), (112, 655), (655, 656), (656, 811), (811, 821), (821, 811), (811, 656), (656, 655), (655, 113), (113,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144), (144, 233), (233, 232), (232, 192), (192, 125), (125, 166), (166, 485), (485, 242)] | seg_dist=7996.19 | cum_dist=11303.57</t>
  </si>
  <si>
    <t>Total shaped reward: 42.766 | deliveries=5 | backtracks=10</t>
  </si>
  <si>
    <t xml:space="preserve">  veh 0: end_loc=242, cap_left=0, delivered=2, distance=4379.70</t>
  </si>
  <si>
    <t xml:space="preserve">  route (full nodes): [242, 485, 132, 202, 225, 205, 254, 177, 189, 206, 37, 152, 36, 158, 35, 19, 559, 558, 13, 733, 699, 704, 3, 478, 350, 368, 479, 368, 374, 326, 343, 313, 503, 349, 653, 364, 316, 364, 653, 349, 503, 2, 561, 730, 729, 34, 732, 212, 216, 240, 156, 251, 214, 128, 171, 242]</t>
  </si>
  <si>
    <t xml:space="preserve">  route (full edges): [(242, 485), (485, 132), (132, 202), (202, 225), (225, 205), (205, 254), (254, 177), (177, 189), (189, 206), (206, 37), (37, 152), (152, 36), (36, 158), (158, 35), (35, 19), (19, 559), (559, 558), (558, 13), (13, 733), (733, 699), (699, 704), (704, 3), (3, 478), (478, 350), (350, 368), (368, 479), (479, 368), (368, 374), (374, 326), (326, 343), (343, 313), (313, 503), (503, 349), (349, 653), (653, 364), (364, 316), (316, 364), (364, 653), (653, 349), (349, 503), (503, 2), (2, 561), (561, 730), (730, 729), (729, 34), (34, 732), (732, 212), (212, 216), (216, 240), (240, 156), (156, 251), (251, 214), (214, 128), (128, 171), (171, 242)]</t>
  </si>
  <si>
    <t xml:space="preserve">  veh 1: end_loc=242, cap_left=0, delivered=2, distance=9904.38</t>
  </si>
  <si>
    <t xml:space="preserve">  route (full nodes): [242, 485, 132, 202, 225, 205, 254, 177, 189, 206, 37, 152, 36, 158, 35, 19, 559, 558, 13, 733, 699, 704, 3, 478, 350, 368, 479, 368, 374, 326, 343, 313, 503, 349, 653, 364, 316, 364, 653, 349, 346, 345, 678, 345, 627, 365, 331, 366, 631, 373, 500, 498, 319, 305, 669, 666, 168, 137, 209, 377, 130, 521, 522, 115, 756, 502, 112, 655, 656, 811, 821, 811, 656, 655, 112, 502, 756, 115, 522, 521, 130, 377, 209, 137, 168, 666, 626, 195, 247, 144, 233, 232, 192, 125, 166, 485, 242]</t>
  </si>
  <si>
    <t xml:space="preserve">  route (full edges): [(242, 485), (485, 132), (132, 202), (202, 225), (225, 205), (205, 254), (254, 177), (177, 189), (189, 206), (206, 37), (37, 152), (152, 36), (36, 158), (158, 35), (35, 19), (19, 559), (559, 558), (558, 13), (13, 733), (733, 699), (699, 704), (704, 3), (3, 478), (478, 350), (350, 368), (368, 479), (479, 368), (368, 374), (374, 326), (326, 343), (343, 313), (313, 503), (503, 349), (349, 653), (653, 364), (364, 316), (316, 364), (364, 653), (653, 349), (349, 346), (346, 345), (345, 678), (678, 345), (345, 627), (627, 365), (365, 331), (331, 366), (366, 631), (631, 373), (373, 500), (500, 498), (498, 319), (319, 305), (305, 669), (669, 666), (666, 168), (168, 137), (137, 209), (209, 377), (377, 130), (130, 521), (521, 522), (522, 115), (115, 756), (756, 502), (502, 112), (112, 655), (655, 656), (656, 811), (811, 821), (821, 811), (811, 656), (656, 655), (655, 112), (112, 502), (502, 756), (756, 115), (115, 522), (522, 521), (521, 130), (130, 377), (377, 209), (209, 137), (137, 168), (168, 666), (666, 626), (626, 195), (195, 247), (247, 144), (144, 233), (233, 232), (232, 192), (192, 125), (125, 166), (166, 485), (485, 242)]</t>
  </si>
  <si>
    <t xml:space="preserve">  veh 2: end_loc=242, cap_left=0, delivered=1, distance=11303.57</t>
  </si>
  <si>
    <t xml:space="preserve">  route (full nodes): [242, 485, 132, 202, 225, 205, 254, 177, 189, 206, 37, 152, 36, 158, 35, 19, 559, 558, 13, 733, 699, 704, 3, 478, 350, 368, 479, 368, 374, 326, 343, 313, 503, 349, 653, 364, 316, 364, 653, 349, 346, 345, 678, 345, 627, 365, 331, 366, 631, 373, 500, 498, 319, 305, 669, 666, 168, 137, 209, 377, 130, 521, 522, 115, 756, 502, 112, 655, 656, 811, 821, 811, 656, 655, 113, 755, 477, 754, 108, 100, 107, 99, 103, 98, 748, 96, 747, 748, 98, 103, 99, 107, 100, 108, 754, 477, 755, 112, 502, 756, 115, 522, 521, 130, 377, 209, 137, 168, 666, 626, 195, 247, 144, 233, 232, 192, 125, 166, 485, 242]</t>
  </si>
  <si>
    <t xml:space="preserve">  route (full edges): [(242, 485), (485, 132), (132, 202), (202, 225), (225, 205), (205, 254), (254, 177), (177, 189), (189, 206), (206, 37), (37, 152), (152, 36), (36, 158), (158, 35), (35, 19), (19, 559), (559, 558), (558, 13), (13, 733), (733, 699), (699, 704), (704, 3), (3, 478), (478, 350), (350, 368), (368, 479), (479, 368), (368, 374), (374, 326), (326, 343), (343, 313), (313, 503), (503, 349), (349, 653), (653, 364), (364, 316), (316, 364), (364, 653), (653, 349), (349, 346), (346, 345), (345, 678), (678, 345), (345, 627), (627, 365), (365, 331), (331, 366), (366, 631), (631, 373), (373, 500), (500, 498), (498, 319), (319, 305), (305, 669), (669, 666), (666, 168), (168, 137), (137, 209), (209, 377), (377, 130), (130, 521), (521, 522), (522, 115), (115, 756), (756, 502), (502, 112), (112, 655), (655, 656), (656, 811), (811, 821), (821, 811), (811, 656), (656, 655), (655, 113), (113,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144), (144, 233), (233, 232), (232, 192), (192, 125), (125, 166), (166, 485), (485, 242)]</t>
  </si>
  <si>
    <t xml:space="preserve">  seg#1 label=EQ#1 (initial) | end_step=0 | dist=0.00 | cum=0.00 | path=[242] | edges=[]</t>
  </si>
  <si>
    <t xml:space="preserve">  seg#2 label=EQ#1 (r≈0.430) | end_step=50 | dist=1405.24 | cum=1405.24 | path=[242, 485, 132, 202, 225, 205, 254, 177, 189, 206, 37, 152, 36, 158, 35, 19, 559, 558] | edges=[(242, 485), (485, 132), (132, 202), (202, 225), (225, 205), (205, 254), (254, 177), (177, 189), (189, 206), (206, 37), (37, 152), (152, 36), (36, 158), (158, 35), (35, 19), (19, 559), (559, 558)]</t>
  </si>
  <si>
    <t xml:space="preserve">  seg#3 label=EQ#2 (r≈0.455) | end_step=120 | dist=1811.08 | cum=3216.33 | path=[558, 13, 733, 699, 704, 3, 478, 350, 368, 479, 368, 374, 326, 343, 313, 503, 349, 653, 364, 316, 364, 653, 349, 503] | edges=[(558, 13), (13, 733), (733, 699), (699, 704), (704, 3), (3, 478), (478, 350), (350, 368), (368, 479), (479, 368), (368, 374), (374, 326), (326, 343), (343, 313), (313, 503), (503, 349), (349, 653), (653, 364), (364, 316), (316, 364), (364, 653), (653, 349), (349, 503)]</t>
  </si>
  <si>
    <t xml:space="preserve">  seg#4 label=FINAL | end_step=270 | dist=1163.37 | cum=4379.70 | path=[503, 2, 561, 730, 729, 34, 732, 212, 216, 240, 156, 251, 214, 128, 171, 242] | edges=[(503, 2), (2, 561), (561, 730), (730, 729), (729, 34), (34, 732), (732, 212), (212, 216), (216, 240), (240, 156), (156, 251), (251, 214), (214, 128), (128, 171), (171, 242)]</t>
  </si>
  <si>
    <t xml:space="preserve">  seg#3 label=EQ#2 (r≈0.455) | end_step=120 | dist=1902.13 | cum=3307.37 | path=[558, 13, 733, 699, 704, 3, 478, 350, 368, 479, 368, 374, 326, 343, 313, 503, 349, 653, 364, 316, 364, 653, 349, 346] | edges=[(558, 13), (13, 733), (733, 699), (699, 704), (704, 3), (3, 478), (478, 350), (350, 368), (368, 479), (479, 368), (368, 374), (374, 326), (326, 343), (343, 313), (313, 503), (503, 349), (349, 653), (653, 364), (364, 316), (316, 364), (364, 653), (653, 349), (349, 346)]</t>
  </si>
  <si>
    <t xml:space="preserve">  seg#4 label=FINAL | end_step=270 | dist=6597.01 | cum=9904.38 | path=[346, 345, 678, 345, 627, 365, 331, 366, 631, 373, 500, 498, 319, 305, 669, 666, 168, 137, 209, 377, 130, 521, 522, 115, 756, 502, 112, 655, 656, 811, 821, 811, 656, 655, 112, 502, 756, 115, 522, 521, 130, 377, 209, 137, 168, 666, 626, 195, 247, 144, 233, 232, 192, 125, 166, 485, 242] | edges=[(346, 345), (345, 678), (678, 345), (345, 627), (627, 365), (365, 331), (331, 366), (366, 631), (631, 373), (373, 500), (500, 498), (498, 319), (319, 305), (305, 669), (669, 666), (666, 168), (168, 137), (137, 209), (209, 377), (377, 130), (130, 521), (521, 522), (522, 115), (115, 756), (756, 502), (502, 112), (112, 655), (655, 656), (656, 811), (811, 821), (821, 811), (811, 656), (656, 655), (655, 112), (112, 502), (502, 756), (756, 115), (115, 522), (522, 521), (521, 130), (130, 377), (377, 209), (209, 137), (137, 168), (168, 666), (666, 626), (626, 195), (195, 247), (247, 144), (144, 233), (233, 232), (232, 192), (192, 125), (125, 166), (166, 485), (485, 242)]</t>
  </si>
  <si>
    <t xml:space="preserve">  seg#2 label=EQ#1 (r≈0.430) | end_step=50 | dist=1343.36 | cum=1343.36 | path=[242, 485, 132, 202, 225, 205, 254, 177, 189, 206, 37, 152, 36, 158, 35, 19, 559] | edges=[(242, 485), (485, 132), (132, 202), (202, 225), (225, 205), (205, 254), (254, 177), (177, 189), (189, 206), (206, 37), (37, 152), (152, 36), (36, 158), (158, 35), (35, 19), (19, 559)]</t>
  </si>
  <si>
    <t xml:space="preserve">  seg#3 label=EQ#2 (r≈0.455) | end_step=120 | dist=1964.01 | cum=3307.37 | path=[559, 558, 13, 733, 699, 704, 3, 478, 350, 368, 479, 368, 374, 326, 343, 313, 503, 349, 653, 364, 316, 364, 653, 349, 346] | edges=[(559, 558), (558, 13), (13, 733), (733, 699), (699, 704), (704, 3), (3, 478), (478, 350), (350, 368), (368, 479), (479, 368), (368, 374), (374, 326), (326, 343), (343, 313), (313, 503), (503, 349), (349, 653), (653, 364), (364, 316), (316, 364), (364, 653), (653, 349), (349, 346)]</t>
  </si>
  <si>
    <t xml:space="preserve">  seg#4 label=FINAL | end_step=270 | dist=7996.19 | cum=11303.57 | path=[346, 345, 678, 345, 627, 365, 331, 366, 631, 373, 500, 498, 319, 305, 669, 666, 168, 137, 209, 377, 130, 521, 522, 115, 756, 502, 112, 655, 656, 811, 821, 811, 656, 655, 113, 755, 477, 754, 108, 100, 107, 99, 103, 98, 748, 96, 747, 748, 98, 103, 99, 107, 100, 108, 754, 477, 755, 112, 502, 756, 115, 522, 521, 130, 377, 209, 137, 168, 666, 626, 195, 247, 144, 233, 232, 192, 125, 166, 485, 242] | edges=[(346, 345), (345, 678), (678, 345), (345, 627), (627, 365), (365, 331), (331, 366), (366, 631), (631, 373), (373, 500), (500, 498), (498, 319), (319, 305), (305, 669), (669, 666), (666, 168), (168, 137), (137, 209), (209, 377), (377, 130), (130, 521), (521, 522), (522, 115), (115, 756), (756, 502), (502, 112), (112, 655), (655, 656), (656, 811), (811, 821), (821, 811), (811, 656), (656, 655), (655, 113), (113,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144), (144, 233), (233, 232), (232, 192), (192, 125), (125, 166), (166, 485), (485, 242)]</t>
  </si>
  <si>
    <t>[RISK] critical degrees after protection: {242: 3, 316: 0, 350: 3, 678: 1, 748: 3, 811: 2}</t>
  </si>
  <si>
    <t>[RISK@try0] r=0.4684 | closed_before=130 | closed_after=130 | reopened=0 | open_ratio=89.0%</t>
  </si>
  <si>
    <t>[Graph change] nonzero edges changed: 260 (r≈0.468). Recompute SP ...</t>
  </si>
  <si>
    <t>Kapanan yol adedi (undirected): 130 | Açıklık oranı: 89.0%</t>
  </si>
  <si>
    <t>Kapanan yollar (i&lt;j): [(3, 555), (7, 354), (8, 323), (10, 42), (10, 557), (13, 16), (19, 41), (24, 640), (24, 721), (25, 217), (30, 695), (32, 550), (33, 575), (39, 133), (43, 44), (48, 638), (52, 548), (53, 637), (54, 55), (59, 384), (67, 79), (68, 69), (69, 215), (71, 484), (78, 816), (80, 428), (84, 122), (87, 676), (90, 634), (92, 683), (93, 603), (93, 728), (94, 746), (105, 106), (108, 477), (114, 433), (118, 235), (118, 265), (119, 142), (119, 201), (120, 162), (120, 481), (131, 150), (132, 486), (136, 170), (137, 170), (143, 177), (145, 148), (147, 710), (153, 154), (166, 171), (167, 675), (178, 206), (179, 193), (180, 264), (192, 248), (194, 692), (201, 726), (221, 232), (223, 261), (226, 487), (228, 238), (234, 250), (249, 665), (251, 264), (260, 676), (266, 512), (270, 278), (272, 304), (274, 300), (283, 308), (284, 318), (288, 529), (294, 514), (296, 320), (306, 587), (311, 322), (317, 528), (325, 540), (342, 367), (345, 364), (357, 361), (362, 375), (363, 371), (386, 571), (387, 400), (387, 818), (392, 400), (411, 427), (413, 416), (413, 424), (414, 431), (416, 427), (417, 419), (433, 434), (441, 444), (447, 456), (466, 613), (467, 473), (470, 471), (475, 613), (479, 561), (479, 704), (494, 620), (495, 565), (507, 508), (526, 671), (528, 529), (534, 535), (554, 556), (555, 632), (564, 630), (582, 735), (590, 591), (594, 595), (600, 601), (614, 615), (620, 621), (639, 641), (656, 661), (657, 661), (712, 713), (713, 715), (753, 760), (776, 778), (783, 795), (786, 797), (796, 797), (799, 800), (803, 804)]</t>
  </si>
  <si>
    <t>- Target 748: reachable ✓  distance=4817.96 | path: [278, 304, 51, 50, 285, 49, 517, 48, 44, 638, 321, 53, 302, 636, 14, 15, 16, 558, 559, 19, 35, 158, 36, 38, 164, 240, 156, 210, 236, 203, 490, 482, 616, 247, 195, 626, 666, 168, 137, 209, 377, 130, 521, 522, 115, 756, 502, 112, 755, 477, 754, 108, 100, 107, 99, 103, 98, 748]</t>
  </si>
  <si>
    <t>- Target 316: reachable ✓  distance=1482.26 | path: [278, 598, 601, 539, 9, 323, 329, 271, 335, 277, 743, 298, 744, 324, 357, 326, 343, 313, 503, 349, 653, 364, 316]</t>
  </si>
  <si>
    <t>- Target 581: UNREACHABLE ✗ | out_deg=1 in_deg=1</t>
  </si>
  <si>
    <t>- Target 654: reachable ✓  distance=4411.25 | path: [278, 304, 51, 50, 285, 49, 517, 48, 44, 638, 321, 53, 302, 636, 14, 15, 16, 558, 559, 19, 35, 158, 36, 38, 164, 240, 156, 210, 236, 203, 92, 672, 728, 549, 1, 654]</t>
  </si>
  <si>
    <t>Unreachable targets: [581]</t>
  </si>
  <si>
    <t>[veh=0] start=278 -&gt; end=278 | nodes=[278] | edges=[] | seg_dist=0.00 | cum_dist=0.00</t>
  </si>
  <si>
    <t>[veh=1] start=278 -&gt; end=278 | nodes=[278] | edges=[] | seg_dist=0.00 | cum_dist=0.00</t>
  </si>
  <si>
    <t>[veh=2] start=278 -&gt; end=278 | nodes=[278] | edges=[] | seg_dist=0.00 | cum_dist=0.00</t>
  </si>
  <si>
    <t>step=50 | hedef_açıklık≈88.0% | r≈0.430 | açık_oranı=83.9% | değişen_hücre=120</t>
  </si>
  <si>
    <t>Kapanan yollar (i&lt;j): [(0, 664), (31, 32), (46, 47), (73, 76), (76, 235), (81, 403), (82, 390), (83, 483), (90, 603), (93, 319), (94, 766), (95, 725), (96, 97), (102, 104), (102, 812), (110, 618), (110, 671), (114, 756), (115, 419), (116, 625), (122, 198), (125, 192), (128, 264), (135, 217), (159, 167), (172, 186), (179, 220), (188, 220), (245, 260), (279, 628), (296, 734), (320, 647), (327, 351), (334, 501), (341, 344), (351, 375), (352, 361), (356, 360), (381, 386), (382, 383), (400, 401), (402, 579), (442, 448), (445, 450), (450, 451), (455, 457), (509, 511), (534, 537), (563, 566), (573, 695), (580, 581), (585, 586), (635, 636), (635, 642), (639, 640), (767, 768), (768, 770), (779, 785), (781, 784), (788, 798)]</t>
  </si>
  <si>
    <t>[veh=0] start=278 -&gt; end=5 | nodes=[278, 304, 51, 50, 285, 49, 517, 48, 47, 46, 512, 45, 8, 7, 339, 649, 6, 5] | edges=[(278, 304), (304, 51), (51, 50), (50, 285), (285, 49), (49, 517), (517, 48), (48, 47), (47, 46), (46, 512), (512, 45), (45, 8), (8, 7), (7, 339), (339, 649), (649, 6), (6, 5)] | seg_dist=742.31 | cum_dist=742.31</t>
  </si>
  <si>
    <t>[veh=1] start=278 -&gt; end=5 | nodes=[278, 304, 51, 50, 285, 49, 517, 48, 47, 46, 512, 45, 8, 7, 339, 649, 6, 5] | edges=[(278, 304), (304, 51), (51, 50), (50, 285), (285, 49), (49, 517), (517, 48), (48, 47), (47, 46), (46, 512), (512, 45), (45, 8), (8, 7), (7, 339), (339, 649), (649, 6), (6, 5)] | seg_dist=742.31 | cum_dist=742.31</t>
  </si>
  <si>
    <t>[veh=2] start=278 -&gt; end=6 | nodes=[278, 304, 51, 50, 285, 49, 517, 48, 47, 46, 512, 45, 8, 7, 339, 649, 6] | edges=[(278, 304), (304, 51), (51, 50), (50, 285), (285, 49), (49, 517), (517, 48), (48, 47), (47, 46), (46, 512), (512, 45), (45, 8), (8, 7), (7, 339), (339, 649), (649, 6)] | seg_dist=717.59 | cum_dist=717.59</t>
  </si>
  <si>
    <t>step=120 | hedef_açıklık≈92.0% | r≈0.455 | açık_oranı=83.7% | değişen_hücre=4</t>
  </si>
  <si>
    <t>Bu olayda kapanan yol adedi (undirected): 2</t>
  </si>
  <si>
    <t>Kapanan yollar (i&lt;j): [(5, 556), (316, 364)]</t>
  </si>
  <si>
    <t>[veh=0] start=5 -&gt; end=373 | nodes=[5, 4, 362, 376, 3, 478, 350, 368, 374, 326, 343, 313, 503, 349, 653, 364, 316, 364, 653, 349, 346, 366, 631, 373] | edges=[(5, 4), (4, 362), (362, 376), (376, 3), (3, 478), (478, 350), (350, 368), (368, 374), (374, 326), (326, 343), (343, 313), (313, 503), (503, 349), (349, 653), (653, 364), (364, 316), (316, 364), (364, 653), (653, 349), (349, 346), (346, 366), (366, 631), (631, 373)] | seg_dist=1781.83 | cum_dist=2524.14</t>
  </si>
  <si>
    <t>[veh=1] start=5 -&gt; end=373 | nodes=[5, 4, 362, 376, 3, 478, 350, 368, 374, 326, 343, 313, 503, 349, 653, 364, 316, 364, 653, 349, 346, 366, 631, 373] | edges=[(5, 4), (4, 362), (362, 376), (376, 3), (3, 478), (478, 350), (350, 368), (368, 374), (374, 326), (326, 343), (343, 313), (313, 503), (503, 349), (349, 653), (653, 364), (364, 316), (316, 364), (364, 653), (653, 349), (349, 346), (346, 366), (366, 631), (631, 373)] | seg_dist=1781.83 | cum_dist=2524.14</t>
  </si>
  <si>
    <t>[veh=2] start=6 -&gt; end=373 | nodes=[6, 5, 4, 362, 376, 3, 478, 350, 368, 374, 326, 343, 313, 503, 349, 653, 364, 316, 364, 653, 349, 346, 366, 631, 373] | edges=[(6, 5), (5, 4), (4, 362), (362, 376), (376, 3), (3, 478), (478, 350), (350, 368), (368, 374), (374, 326), (326, 343), (343, 313), (313, 503), (503, 349), (349, 653), (653, 364), (364, 316), (316, 364), (364, 653), (653, 349), (349, 346), (346, 366), (366, 631), (631, 373)] | seg_dist=1806.55 | cum_dist=2524.14</t>
  </si>
  <si>
    <t>[TEST] veh=0 terminal reason=empty_home, loc=278, steps_since_delivery=49</t>
  </si>
  <si>
    <t>[TEST] veh=2 terminal reason=empty_home, loc=278, steps_since_delivery=137</t>
  </si>
  <si>
    <t>[TEST] veh=1 terminal reason=stall_vehicle, loc=598, steps_since_delivery=400</t>
  </si>
  <si>
    <t>[veh=0] start=373 -&gt; end=278 | nodes=[373, 500, 498, 319, 305, 669, 564, 563, 565, 630, 275, 568, 549, 1, 654, 1, 549, 728, 672, 92, 203, 236, 210, 156, 240, 164, 38, 36, 158, 35, 19, 559, 558, 16, 15, 14, 636, 302, 53, 321, 638, 44, 48, 517, 49, 285, 50, 51, 304, 278] | edges=[(373, 500), (500, 498), (498, 319), (319, 305), (305, 669), (669, 564), (564, 563), (563, 565), (565, 630), (630, 275), (275, 568), (568, 549), (549, 1), (1, 654), (654, 1), (1, 549), (549, 728), (728, 672), (672, 92), (92, 203), (203, 236), (236, 210), (210, 156), (156, 240), (240, 164), (164, 38), (38, 36), (36, 158), (158, 35), (35, 19), (19, 559), (559, 558), (558, 16), (16, 15), (15, 14), (14, 636), (636, 302), (302, 53), (53, 321), (321, 638), (638, 44), (44, 48), (48, 517), (517, 49), (49, 285), (285, 50), (50, 51), (51, 304), (304, 278)] | seg_dist=7408.72 | cum_dist=9932.86</t>
  </si>
  <si>
    <t>[veh=1] start=373 -&gt; end=598 | nodes=[373, 500, 498, 319, 305, 669, 564, 563, 565, 630, 275, 568, 549, 1, 654, 1, 130, 377, 462, 461, 489, 462, 377, 130, 521, 522, 115, 756, 502, 112, 755, 477, 754, 108, 100, 107, 99, 103, 105, 814, 98, 748, 96, 747, 812, 611, 750, 751, 679, 414, 412, 410, 416, 424, 113, 755, 112, 502, 756, 115, 522, 521, 130, 1, 549, 728, 672, 92, 203, 236, 243, 185, 732, 34, 731, 730, 561, 2, 503, 313, 343, 326, 357, 324, 744, 298, 743, 277, 335, 271, 329, 323, 9, 539, 599,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598] | edges=[(373, 500), (500, 498), (498, 319), (319, 305), (305, 669), (669, 564), (564, 563), (563, 565), (565, 630), (630, 275), (275, 568), (568, 549), (549, 1), (1, 654), (654, 1), (1, 130), (130, 377), (377, 462), (462, 461), (461, 489), (489, 462), (462, 377), (377, 130), (130, 521), (521, 522), (522, 115), (115, 756), (756, 502), (502, 112), (112, 755), (755, 477), (477, 754), (754, 108), (108, 100), (100, 107), (107, 99), (99, 103), (103, 105), (105, 814), (814, 98), (98, 748), (748, 96), (96, 747), (747, 812), (812, 611), (611, 750), (750, 751), (751, 679), (679, 414), (414, 412), (412, 410), (410, 416), (416, 424), (424, 113), (113, 755), (755, 112), (112, 502), (502, 756), (756, 115), (115, 522), (522, 521), (521, 130), (130, 1), (1, 549), (549, 728), (728, 672), (672, 92), (92, 203), (203, 236), (236, 243), (243, 185), (185, 732), (732, 34), (34, 731), (731, 730), (730, 561), (561, 2), (2, 503), (503, 313), (313, 343), (343, 326), (326, 357), (357, 324), (324, 744), (744, 298), (298, 743), (743, 277), (277, 335), (335, 271), (271, 329), (329, 323), (323, 9), (9, 539), (539, 599), (599,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598)] | seg_dist=26663.61 | cum_dist=29187.75</t>
  </si>
  <si>
    <t xml:space="preserve">[veh=2] start=373 -&gt; end=278 | nodes=[373, 500, 498, 319, 305, 669, 564, 563, 565, 630, 275, 568, 549, 1, 654, 1, 130, 521, 522, 115, 756, 502, 112, 755, 477, 754, 108, 100, 107, 99, 103, 98, 748, 96, 747, 748, 98, 103, 99, 107, 100, 108, 754, 477, 755, 112, 502, 756, 115, 522, 521, 130, 377, 209, 137, 168, 666, 626, 195, 247, 616, 482, 490, 203, 236, 210, 156, 240, 164, 38, 36, 158, 35, 19, 559, 558, 16, 15, 14, 636, 302, 53, 321, 638, 44, 48, 517, 49, 285, 50, 51, 304, 278] | edges=[(373, 500), (500, 498), (498, 319), (319, 305), (305, 669), (669, 564), (564, 563), (563, 565), (565, 630), (630, 275), (275, 568), (568, 549), (549, 1), (1, 654), (654, 1), (1,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210), (210, 156), (156, 240), (240, 164), (164, 38), (38, 36), (36, 158), (158, 35), (35, 19), (19, 559), (559, 558), (558, 16), (16, 15), (15, 14), (14, 636), (636, 302), (302, 53), (53, 321), (321, 638), (638, 44), (44, 48), (48, 517), (517, 49), (49, 285), (285, 50), (50, 51), (51, 304), (304, 278)] | seg_dist=11815.44 | cum_dist=14339.58   </t>
  </si>
  <si>
    <t>Total shaped reward: 346.531 | deliveries=3 | backtracks=6</t>
  </si>
  <si>
    <t xml:space="preserve">  veh 0: end_loc=278, cap_left=0, delivered=2, distance=9932.86</t>
  </si>
  <si>
    <t xml:space="preserve">  route (full nodes): [278, 304, 51, 50, 285, 49, 517, 48, 47, 46, 512, 45, 8, 7, 339, 649, 6, 5, 4, 362, 376, 3, 478, 350, 368, 374, 326, 343, 313, 503, 349, 653, 364, 316, 364, 653, 349, 346, 366, 631, 373, 500, 498, 319, 305, 669, 564, 563, 565, 630, 275, 568, 549, 1, 654, 1, 549, 728, 672, 92, 203, 236, 210, 156, 240, 164, 38, 36, 158, 35, 19, 559, 558, 16, 15, 14, 636, 302, 53, 321, 638, 44, 48, 517, 49, 285, 50, 51, 304, 278]</t>
  </si>
  <si>
    <t xml:space="preserve">  route (full edges): [(278, 304), (304, 51), (51, 50), (50, 285), (285, 49), (49, 517), (517, 48), (48, 47), (47, 46), (46, 512), (512, 45), (45, 8), (8, 7), (7, 339), (339, 649), (649, 6), (6, 5), (5, 4), (4, 362), (362, 376), (376, 3), (3, 478), (478, 350), (350, 368), (368, 374), (374, 326), (326, 343), (343, 313), (313, 503), (503, 349), (349, 653), (653, 364), (364, 316), (316, 364), (364, 653), (653, 349), (349, 346), (346, 366), (366, 631), (631, 373), (373, 500), (500, 498), (498, 319), (319, 305), (305, 669), (669, 564), (564, 563), (563, 565), (565, 630), (630, 275), (275, 568), (568, 549), (549, 1), (1, 654), (654, 1), (1, 549), (549, 728), (728, 672), (672, 92), (92, 203), (203, 236), (236, 210), (210, 156), (156, 240), (240, 164), (164, 38), (38, 36), (36, 158), (158, 35), (35, 19), (19, 559), (559, 558), (558, 16), (16, 15), (15, 14), (14, 636), (636, 302), (302, 53), (53, 321), (321, 638), (638, 44), (44, 48), (48, 517), (517, 49), (49, 285), (285, 50), (50, 51), (51, 304), (304, 278)]</t>
  </si>
  <si>
    <t xml:space="preserve">  veh 1: end_loc=598, cap_left=1, delivered=0, distance=29187.75</t>
  </si>
  <si>
    <t xml:space="preserve">  route (full nodes): [278, 304, 51, 50, 285, 49, 517, 48, 47, 46, 512, 45, 8, 7, 339, 649, 6, 5, 4, 362, 376, 3, 478, 350, 368, 374, 326, 343, 313, 503, 349, 653, 364, 316, 364, 653, 349, 346, 366, 631, 373, 500, 498, 319, 305, 669, 564, 563, 565, 630, 275, 568, 549, 1, 654, 1, 130, 377, 462, 461, 489, 462, 377, 130, 521, 522, 115, 756, 502, 112, 755, 477, 754, 108, 100, 107, 99, 103, 105, 814, 98, 748, 96, 747, 812, 611, 750, 751, 679, 414, 412, 410, 416, 424, 113, 755, 112, 502, 756, 115, 522, 521, 130, 1, 549, 728, 672, 92, 203, 236, 243, 185, 732, 34, 731, 730, 561, 2, 503, 313, 343, 326, 357, 324, 744, 298, 743, 277, 335, 271, 329, 323, 9, 539, 599,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598]</t>
  </si>
  <si>
    <t xml:space="preserve">  route (full edges): [(278, 304), (304, 51), (51, 50), (50, 285), (285, 49), (49, 517), (517, 48), (48, 47), (47, 46), (46, 512), (512, 45), (45, 8), (8, 7), (7, 339), (339, 649), (649, 6), (6, 5), (5, 4), (4, 362), (362, 376), (376, 3), (3, 478), (478, 350), (350, 368), (368, 374), (374, 326), (326, 343), (343, 313), (313, 503), (503, 349), (349, 653), (653, 364), (364, 316), (316, 364), (364, 653), (653, 349), (349, 346), (346, 366), (366, 631), (631, 373), (373, 500), (500, 498), (498, 319), (319, 305), (305, 669), (669, 564), (564, 563), (563, 565), (565, 630), (630, 275), (275, 568), (568, 549), (549, 1), (1, 654), (654, 1), (1, 130), (130, 377), (377, 462), (462, 461), (461, 489), (489, 462), (462, 377), (377, 130), (130, 521), (521, 522), (522, 115), (115, 756), (756, 502), (502, 112), (112, 755), (755, 477), (477, 754), (754, 108), (108, 100), (100, 107), (107, 99), (99, 103), (103, 105), (105, 814), (814, 98), (98, 748), (748, 96), (96, 747), (747, 812), (812, 611), (611, 750), (750, 751), (751, 679), (679, 414), (414, 412), (412, 410), (410, 416), (416, 424), (424, 113), (113, 755), (755, 112), (112, 502), (502, 756), (756, 115), (115, 522), (522, 521), (521, 130), (130, 1), (1, 549), (549, 728), (728, 672), (672, 92), (92, 203), (203, 236), (236, 243), (243, 185), (185, 732), (732, 34), (34, 731), (731, 730), (730, 561), (561, 2), (2, 503), (503, 313), (313, 343), (343, 326), (326, 357), (357, 324), (324, 744), (744, 298), (298, 743), (743, 277), (277, 335), (335, 271), (271, 329), (329, 323), (323, 9), (9, 539), (539, 599), (599,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598)]</t>
  </si>
  <si>
    <t xml:space="preserve">  veh 2: end_loc=278, cap_left=0, delivered=1, distance=14339.58</t>
  </si>
  <si>
    <t xml:space="preserve">  route (full nodes): [278, 304, 51, 50, 285, 49, 517, 48, 47, 46, 512, 45, 8, 7, 339, 649, 6, 5, 4, 362, 376, 3, 478, 350, 368, 374, 326, 343, 313, 503, 349, 653, 364, 316, 364, 653, 349, 346, 366, 631, 373, 500, 498, 319, 305, 669, 564, 563, 565, 630, 275, 568, 549, 1, 654, 1, 130, 521, 522, 115, 756, 502, 112, 755, 477, 754, 108, 100, 107, 99, 103, 98, 748, 96, 747, 748, 98, 103, 99, 107, 100, 108, 754, 477, 755, 112, 502, 756, 115, 522, 521, 130, 377, 209, 137, 168, 666, 626, 195, 247, 616, 482, 490, 203, 236, 210, 156, 240, 164, 38, 36, 158, 35, 19, 559, 558, 16, 15, 14, 636, 302, 53, 321, 638, 44, 48, 517, 49, 285, 50, 51, 304, 278]</t>
  </si>
  <si>
    <t xml:space="preserve">  route (full edges): [(278, 304), (304, 51), (51, 50), (50, 285), (285, 49), (49, 517), (517, 48), (48, 47), (47, 46), (46, 512), (512, 45), (45, 8), (8, 7), (7, 339), (339, 649), (649, 6), (6, 5), (5, 4), (4, 362), (362, 376), (376, 3), (3, 478), (478, 350), (350, 368), (368, 374), (374, 326), (326, 343), (343, 313), (313, 503), (503, 349), (349, 653), (653, 364), (364, 316), (316, 364), (364, 653), (653, 349), (349, 346), (346, 366), (366, 631), (631, 373), (373, 500), (500, 498), (498, 319), (319, 305), (305, 669), (669, 564), (564, 563), (563, 565), (565, 630), (630, 275), (275, 568), (568, 549), (549, 1), (1, 654), (654, 1), (1,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210), (210, 156), (156, 240), (240, 164), (164, 38), (38, 36), (36, 158), (158, 35), (35, 19), (19, 559), (559, 558), (558, 16), (16, 15), (15, 14), (14, 636), (636, 302), (302, 53), (53, 321), (321, 638), (638, 44), (44, 48), (48, 517), (517, 49), (49, 285), (285, 50), (50, 51), (51, 304), (304, 278)]</t>
  </si>
  <si>
    <t xml:space="preserve">  seg#1 label=EQ#1 (initial) | end_step=0 | dist=0.00 | cum=0.00 | path=[278] | edges=[]</t>
  </si>
  <si>
    <t xml:space="preserve">  seg#2 label=EQ#1 (r≈0.430) | end_step=50 | dist=742.31 | cum=742.31 | path=[278, 304, 51, 50, 285, 49, 517, 48, 47, 46, 512, 45, 8, 7, 339, 649, 6, 5] | edges=[(278, 304), (304, 51), (51, 50), (50, 285), (285, 49), (49, 517), (517, 48), (48, 47), (47, 46), (46, 512), (512, 45), (45, 8), (8, 7), (7, 339), (339, 649), (649, 6), (6, 5)]</t>
  </si>
  <si>
    <t xml:space="preserve">  seg#3 label=EQ#2 (r≈0.455) | end_step=120 | dist=1781.83 | cum=2524.14 | path=[5, 4, 362, 376, 3, 478, 350, 368, 374, 326, 343, 313, 503, 349, 653, 364, 316, 364, 653, 349, 346, 366, 631, 373] | edges=[(5, 4), (4, 362), (362, 376), (376, 3), (3, 478), (478, 350), (350, 368), (368, 374), (374, 326), (326, 343), (343, 313), (313, 503), (503, 349), (349, 653), (653, 364), (364, 316), (316, 364), (364, 653), (653, 349), (349, 346), (346, 366), (366, 631), (631, 373)]</t>
  </si>
  <si>
    <t xml:space="preserve">  seg#4 label=FINAL | end_step=616 | dist=7408.72 | cum=9932.86 | path=[373, 500, 498, 319, 305, 669, 564, 563, 565, 630, 275, 568, 549, 1, 654, 1, 549, 728, 672, 92, 203, 236, 210, 156, 240, 164, 38, 36, 158, 35, 19, 559, 558, 16, 15, 14, 636, 302, 53, 321, 638, 44, 48, 517, 49, 285, 50, 51, 304, 278] | edges=[(373, 500), (500, 498), (498, 319), (319, 305), (305, 669), (669, 564), (564, 563), (563, 565), (565, 630), (630, 275), (275, 568), (568, 549), (549, 1), (1, 654), (654, 1), (1, 549), (549, 728), (728, 672), (672, 92), (92, 203), (203, 236), (236, 210), (210, 156), (156, 240), (240, 164), (164, 38), (38, 36), (36, 158), (158, 35), (35, 19), (19, 559), (559, 558), (558, 16), (16, 15), (15, 14), (14, 636), (636, 302), (302, 53), (53, 321), (321, 638), (638, 44), (44, 48), (48, 517), (517, 49), (49, 285), (285, 50), (50, 51), (51, 304), (304, 278)]</t>
  </si>
  <si>
    <t xml:space="preserve">  seg#4 label=FINAL | end_step=616 | dist=26663.61 | cum=29187.75 | path=[373, 500, 498, 319, 305, 669, 564, 563, 565, 630, 275, 568, 549, 1, 654, 1, 130, 377, 462, 461, 489, 462, 377, 130, 521, 522, 115, 756, 502, 112, 755, 477, 754, 108, 100, 107, 99, 103, 105, 814, 98, 748, 96, 747, 812, 611, 750, 751, 679, 414, 412, 410, 416, 424, 113, 755, 112, 502, 756, 115, 522, 521, 130, 1, 549, 728, 672, 92, 203, 236, 243, 185, 732, 34, 731, 730, 561, 2, 503, 313, 343, 326, 357, 324, 744, 298, 743, 277, 335, 271, 329, 323, 9, 539, 599,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598, 278, 304, 51, 50, 285, 49, 647, 532, 533, 291, 513, 52, 51, 304, 278, 598, 599, 539, 601, 598] | edges=[(373, 500), (500, 498), (498, 319), (319, 305), (305, 669), (669, 564), (564, 563), (563, 565), (565, 630), (630, 275), (275, 568), (568, 549), (549, 1), (1, 654), (654, 1), (1, 130), (130, 377), (377, 462), (462, 461), (461, 489), (489, 462), (462, 377), (377, 130), (130, 521), (521, 522), (522, 115), (115, 756), (756, 502), (502, 112), (112, 755), (755, 477), (477, 754), (754, 108), (108, 100), (100, 107), (107, 99), (99, 103), (103, 105), (105, 814), (814, 98), (98, 748), (748, 96), (96, 747), (747, 812), (812, 611), (611, 750), (750, 751), (751, 679), (679, 414), (414, 412), (412, 410), (410, 416), (416, 424), (424, 113), (113, 755), (755, 112), (112, 502), (502, 756), (756, 115), (115, 522), (522, 521), (521, 130), (130, 1), (1, 549), (549, 728), (728, 672), (672, 92), (92, 203), (203, 236), (236, 243), (243, 185), (185, 732), (732, 34), (34, 731), (731, 730), (730, 561), (561, 2), (2, 503), (503, 313), (313, 343), (343, 326), (326, 357), (357, 324), (324, 744), (744, 298), (298, 743), (743, 277), (277, 335), (335, 271), (271, 329), (329, 323), (323, 9), (9, 539), (539, 599), (599,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598), (598, 278), (278, 304), (304, 51), (51, 50), (50, 285), (285, 49), (49, 647), (647, 532), (532, 533), (533, 291), (291, 513), (513, 52), (52, 51), (51, 304), (304, 278), (278, 598), (598, 599), (599, 539), (539, 601), (601, 598)]</t>
  </si>
  <si>
    <t xml:space="preserve">  seg#2 label=EQ#1 (r≈0.430) | end_step=50 | dist=717.59 | cum=717.59 | path=[278, 304, 51, 50, 285, 49, 517, 48, 47, 46, 512, 45, 8, 7, 339, 649, 6] | edges=[(278, 304), (304, 51), (51, 50), (50, 285), (285, 49), (49, 517), (517, 48), (48, 47), (47, 46), (46, 512), (512, 45), (45, 8), (8, 7), (7, 339), (339, 649), (649, 6)]</t>
  </si>
  <si>
    <t xml:space="preserve">  seg#3 label=EQ#2 (r≈0.455) | end_step=120 | dist=1806.55 | cum=2524.14 | path=[6, 5, 4, 362, 376, 3, 478, 350, 368, 374, 326, 343, 313, 503, 349, 653, 364, 316, 364, 653, 349, 346, 366, 631, 373] | edges=[(6, 5), (5, 4), (4, 362), (362, 376), (376, 3), (3, 478), (478, 350), (350, 368), (368, 374), (374, 326), (326, 343), (343, 313), (313, 503), (503, 349), (349, 653), (653, 364), (364, 316), (316, 364), (364, 653), (653, 349), (349, 346), (346, 366), (366, 631), (631, 373)]</t>
  </si>
  <si>
    <t xml:space="preserve">  seg#4 label=FINAL | end_step=616 | dist=11815.44 | cum=14339.58 | path=[373, 500, 498, 319, 305, 669, 564, 563, 565, 630, 275, 568, 549, 1, 654, 1, 130, 521, 522, 115, 756, 502, 112, 755, 477, 754, 108, 100, 107, 99, 103, 98, 748, 96, 747, 748, 98, 103, 99, 107, 100, 108, 754, 477, 755, 112, 502, 756, 115, 522, 521, 130, 377, 209, 137, 168, 666, 626, 195, 247, 616, 482, 490, 203, 236, 210, 156, 240, 164, 38, 36, 158, 35, 19, 559, 558, 16, 15, 14, 636, 302, 53, 321, 638, 44, 48, 517, 49, 285, 50, 51, 304, 278] | edges=[(373, 500), (500, 498), (498, 319), (319, 305), (305, 669), (669, 564), (564, 563), (563, 565), (565, 630), (630, 275), (275, 568), (568, 549), (549, 1), (1, 654), (654, 1), (1,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210), (210, 156), (156, 240), (240, 164), (164, 38), (38, 36), (36, 158), (158, 35), (35, 19), (19, 559), (559, 558), (558, 16), (16, 15), (15, 14), (14, 636), (636, 302), (302, 53), (53, 321), (321, 638), (638, 44), (44, 48), (48, 517), (517, 49), (49, 285), (285, 50), (50, 51), (51, 304), (304, 278)]       </t>
  </si>
  <si>
    <t>[RISK] critical degrees after protection: {278: 2, 316: 0, 581: 0, 654: 1, 748: 3}</t>
  </si>
  <si>
    <t>Total Inference Runtime: 1424.70 s (23.75 min)</t>
  </si>
  <si>
    <t xml:space="preserve">PS C:\BaharHoca deprem testleri\Bahar_Deprem_Final_verim arttırmak için yeni dizayn_çok nodlu_ADJUSTED - TEST3&gt; </t>
  </si>
  <si>
    <t>[20, 43, 607, 748]</t>
  </si>
  <si>
    <t>[SCENARIO 2] Depot=324</t>
  </si>
  <si>
    <t>[SCENARIO 4] Depot=69</t>
  </si>
  <si>
    <t>[316, 350, 678, 748, 811]</t>
  </si>
  <si>
    <t>[SCENARIO 5] Depot=242</t>
  </si>
  <si>
    <t xml:space="preserve">[316, 581, 654, 748] </t>
  </si>
  <si>
    <t>[SCENARIO 6] Depot=278</t>
  </si>
  <si>
    <t>[SCENARIO 6] demands=[316, 581, 654, 748] | total=4 | capacities=[2, 1, 1]</t>
  </si>
  <si>
    <t>[SCENARIO 5] demands=[316, 350, 678, 748, 811] | total=5 | capacities=[2, 2, 1]</t>
  </si>
  <si>
    <t>[SCENARIO 4] demands=[20, 43, 607, 748] | total=4 | capacities=[2, 1, 1]</t>
  </si>
  <si>
    <t>[SCENARIO 0] demands=[464, 694, 748] | total=3 | capacities=[1, 1, 1]</t>
  </si>
  <si>
    <t>[RISK@try0] r=0.4517 | closed_before=201 | closed_after=191 | reopened=10 | open_ratio=83.8%</t>
  </si>
  <si>
    <t>[Graph change] nonzero edges changed: 382 (r≈0.452). Recompute SP ...</t>
  </si>
  <si>
    <t>Kapanan yol adedi (undirected): 191 | Açıklık oranı: 83.8%</t>
  </si>
  <si>
    <t>Kapanan yollar (i&lt;j): [(0, 664), (3, 555), (5, 556), (7, 354), (8, 323), (10, 42), (10, 557), (13, 16), (19, 41), (24, 640), (24, 721), (25, 217), (30, 695), (31, 32), (33, 575), (39, 133), (43, 44), (46, 47), (48, 638), (52, 548), (53, 637), (54, 55), (59, 384), (67, 79), (68, 69), (69, 215), (71, 484), (72, 124), (73, 76), (76, 235), (78, 816), (80, 428), (81, 403), (82, 390), (83, 483), (84, 122), (87, 676), (90, 603), (90, 634), (92, 683), (93, 319), (93, 603), (93, 728), (94, 746), (94, 766), (95, 725), (96, 97), (102, 104), (102, 812), (105, 106), (110, 618), (110, 671), (115, 419), (116, 625), (118, 235), (118, 265), (119, 142), (119, 201), (120, 162), (120, 481), (122, 198), (128, 264), (131, 150), (132, 486), (135, 217), (136, 170), (137, 170), (143, 177), (145, 148), (147, 710), (153, 154), (159, 167), (167, 675), (172, 186), (180, 264), (188, 220), (192, 248), (194, 692), (201, 726), (210, 236), (221, 232), (223, 261), (226, 487), (228, 238), (234, 250), (245, 260), (249, 665), (251, 264), (260, 676), (266, 512), (268, 270), (270, 278), (271, 329), (272, 304), (274, 300), (279, 628), (283, 308), (284, 318), (288, 529), (294, 514), (296, 320), (296, 734), (306, 587), (311, 322), (316, 364), (317, 528), (318, 674), (320, 647), (325, 540), (327, 351), (334, 501), (341, 344), (342, 367), (345, 364), (351, 375), (352, 361), (356, 360), (357, 361), (362, 375), (363, 371), (381, 386), (382, 383), (386, 571), (387, 400), (387, 818), (392, 400), (400, 401), (402, 579), (411, 427), (413, 416), (413, 424), (414, 431), (416, 427), (417, 419), (433, 434), (441, 444), (442, 448), (445, 450), (447, 456), (450, 451), (455, 457), (466, 613), (467, 473), (470, 471), (475, 613), (479, 561), (479, 704), (483, 484), (494, 620), (495, 565), (507, 508), (509, 511), (526, 671), (528, 529), (534, 535), (534, 537), (554, 556), (555, 632), (563, 566), (564, 630), (573, 695), (580, 581), (582, 735), (585, 586), (590, 591), (594, 595), (600, 601), (614, 615), (620, 621), (621, 661), (635, 636), (635, 642), (639, 640), (639, 641), (656, 661), (657, 661), (672, 728), (712, 713), (713, 715), (753, 760), (767, 768), (768, 770), (776, 778), (779, 785), (781, 784), (783, 795), (786, 797), (788, 798), (796, 797), (799, 800), (803, 804)]</t>
  </si>
  <si>
    <t>- Target 748: reachable ✓  distance=3866.95 | path: [220, 179, 193, 258, 178, 206, 189, 227, 214, 128, 171, 166, 125, 192, 232, 233, 144, 247, 195, 626, 666, 168, 137, 209, 377, 130, 521, 522, 115, 756, 114, 433, 113, 755, 477, 108, 100, 107, 99, 103, 98, 748]</t>
  </si>
  <si>
    <t>- Target 464: reachable ✓  distance=1824.38 | path: [220, 179, 193, 258, 178, 206, 189, 177, 254, 205, 150, 127, 172, 472, 126, 84, 437, 470, 83, 79, 763, 60, 464]</t>
  </si>
  <si>
    <t>- Target 694: reachable ✓  distance=386.00 | path: [220, 139, 552, 550, 32, 694]</t>
  </si>
  <si>
    <t>[veh=0] start=220 -&gt; end=220 | nodes=[220] | edges=[] | seg_dist=0.00 | cum_dist=0.00 | delivered_qty=0 | delivered_at=[]</t>
  </si>
  <si>
    <t>[veh=1] start=220 -&gt; end=220 | nodes=[220] | edges=[] | seg_dist=0.00 | cum_dist=0.00 | delivered_qty=0 | delivered_at=[]</t>
  </si>
  <si>
    <t>[veh=2] start=220 -&gt; end=220 | nodes=[220] | edges=[] | seg_dist=0.00 | cum_dist=0.00 | delivered_qty=0 | delivered_at=[]</t>
  </si>
  <si>
    <t>[ACTION] Araçlar round‑robin modda eşzamanlı yürüyor.</t>
  </si>
  <si>
    <t>[TEST] veh=0 terminal reason=empty_home, loc=220, steps_since_delivery=15</t>
  </si>
  <si>
    <t>step=50 | hedef_açıklık≈88.0% | r≈0.430 | açık_oranı=78.7% | değişen_hücre=120</t>
  </si>
  <si>
    <t>Kapanan yollar (i&lt;j): [(2, 503), (4, 5), (4, 362), (22, 721), (32, 159), (32, 550), (34, 732), (44, 48), (49, 299), (65, 67), (66, 605), (73, 74), (93, 275), (110, 111), (114, 419), (117, 154), (155, 170), (160, 217), (190, 219), (194, 552), (202, 225), (216, 243), (218, 246), (237, 256), (258, 551), (267, 282), (267, 702), (272, 273), (276, 306), (279, 567), (284, 545), (286, 514), (291, 533), (307, 591), (308, 646), (313, 653), (322, 509), (325, 547), (328, 332), (347, 372), (348, 370), (362, 376), (371, 376), (406, 413), (409, 469), (411, 677), (412, 431), (443, 446), (463, 480), (495, 629), (518, 736), (549, 728), (575, 700), (617, 645), (624, 625), (680, 683), (681, 682), (708, 717), (790, 793), (794, 795)]</t>
  </si>
  <si>
    <t>[veh=0] start=220 -&gt; end=220 | nodes=[220, 179, 241, 253, 200, 204, 551, 258, 259, 252, 138, 550, 32, 694, 32, 550, 552, 139, 220] | edges=[(220, 179), (179, 241), (241, 253), (253, 200), (200, 204), (204, 551), (551, 258), (258, 259), (259, 252), (252, 138), (138, 550), (550, 32), (32, 694), (694, 32), (32, 550), (550, 552), (552, 139), (139, 220)] | seg_dist=1334.21 | cum_dist=1334.21 | delivered_qty=1 | delivered_at=[(694, 1)]</t>
  </si>
  <si>
    <t>[veh=1] start=220 -&gt; end=437 | nodes=[220, 179, 241, 253, 200, 204, 551, 258, 259, 252, 138, 550, 32, 159, 32, 694, 32, 550, 552, 139, 255, 193, 258, 178, 206, 189, 177, 254, 205, 150, 127, 172, 472, 126, 84, 437, 470, 83, 79, 763, 60, 464, 606, 607, 604, 60, 763, 79, 83, 470, 437] | edges=[(220, 179), (179, 241), (241, 253), (253, 200), (200, 204), (204, 551), (551, 258), (258, 259), (259, 252), (252, 138), (138, 550), (550, 32), (32, 159), (159, 32), (32, 694), (694, 32), (32, 550), (550, 552), (552, 139), (139, 255), (255, 193), (193, 258), (258, 178), (178, 206), (206, 189), (189, 177), (177, 254), (254, 205), (205, 150), (150, 127), (127, 172), (172, 472), (472, 126), (126, 84), (84, 437), (437, 470), (470, 83), (83, 79), (79, 763), (763, 60), (60, 464), (464, 606), (606, 607), (607, 604), (604, 60), (60, 763), (763, 79), (79, 83), (83, 470), (470, 437)] | seg_dist=3704.57 | cum_dist=3704.57 | delivered_qty=1 | delivered_at=[(464, 1)]</t>
  </si>
  <si>
    <t>[veh=2] start=220 -&gt; end=380 | nodes=[220, 179, 241, 253, 200, 204, 551, 258, 259, 252, 138, 550, 32, 159, 32, 694, 32, 550, 552, 139, 255, 193, 258, 178, 206, 189, 177, 254, 205, 150, 127, 172, 472, 126, 84, 437, 470, 83, 79, 763, 60, 604, 605, 66, 64, 63, 578, 577, 576, 140, 380] | edges=[(220, 179), (179, 241), (241, 253), (253, 200), (200, 204), (204, 551), (551, 258), (258, 259), (259, 252), (252, 138), (138, 550), (550, 32), (32, 159), (159, 32), (32, 694), (694, 32), (32, 550), (550, 552), (552, 139), (139, 255), (255, 193), (193, 258), (258, 178), (178, 206), (206, 189), (189, 177), (177, 254), (254, 205), (205, 150), (150, 127), (127, 172), (172, 472), (472, 126), (126, 84), (84, 437), (437, 470), (470, 83), (83, 79), (79, 763), (763, 60), (60, 604), (604, 605), (605, 66), (66, 64), (64, 63), (63, 578), (578, 577), (577, 576), (576, 140), (140, 380)] | seg_dist=3625.27 | cum_dist=3625.27 | delivered_qty=0 | delivered_at=[]</t>
  </si>
  <si>
    <t>[TEST] veh=1 terminal reason=empty_home, loc=220, steps_since_delivery=50</t>
  </si>
  <si>
    <t>[TEST] veh=2 terminal reason=solved, loc=220, steps_since_delivery=44</t>
  </si>
  <si>
    <t>[veh=0] start=220 -&gt; end=220 | nodes=[220] | edges=[] | seg_dist=0.00 | cum_dist=1334.21 | delivered_qty=0 | delivered_at=[]</t>
  </si>
  <si>
    <t>[veh=1] start=437 -&gt; end=220 | nodes=[437, 84, 126, 472, 172, 127, 150, 205, 254, 177, 189, 206, 178, 258, 193, 179, 220] | edges=[(437, 84), (84, 126), (126, 472), (472, 172), (172, 127), (127, 150), (150, 205), (205, 254), (254, 177), (177, 189), (189, 206), (206, 178), (178, 258), (258, 193), (193, 179), (179, 220)] | seg_dist=1250.51 | cum_dist=4955.08 | delivered_qty=0 | delivered_at=[]</t>
  </si>
  <si>
    <t>[veh=2] start=380 -&gt; end=220 | nodes=[380, 461, 462, 377, 130, 521, 522, 115, 756, 114, 433, 113, 755, 477, 108, 100, 107, 99, 103, 98, 748, 96, 747, 748, 98, 103, 99, 107, 100, 108, 477, 755, 113, 433, 114, 756, 115, 522, 521, 130, 377, 209, 137, 168, 666, 626, 195, 247, 144, 233, 232, 192, 125, 166, 171, 128, 214, 227, 189, 206, 178, 258, 193, 179, 220] | edges=[(380, 461), (461, 462), (462, 377), (377, 130), (130, 521), (521, 522), (522, 115), (115, 756), (756, 114), (114, 433), (433, 113), (113, 755), (755, 477), (477, 108), (108, 100), (100, 107), (107, 99), (99, 103), (103, 98), (98, 748), (748, 96), (96, 747), (747, 748), (748, 98), (98, 103), (103, 99), (99, 107), (107, 100), (100, 108), (108, 477), (477, 755), (755, 113), (113, 433), (433, 114), (114, 756), (756, 115), (115, 522), (522, 521), (521, 130), (130, 377), (377, 209), (209, 137), (137, 168), (168, 666), (666, 626), (626, 195), (195, 247), (247, 144), (144, 233), (233, 232), (232, 192), (192, 125), (125, 166), (166, 171), (171, 128), (128, 214), (214, 227), (227, 189), (189, 206), (206, 178), (178, 258), (258, 193), (193, 179), (179, 220)] | seg_dist=6203.45 | cum_dist=9828.71 | delivered_qty=1 | delivered_at=[(748, 1)]</t>
  </si>
  <si>
    <t>Total shaped reward: -36.524 | deliveries=3 | backtracks=5</t>
  </si>
  <si>
    <t xml:space="preserve">  veh 0: end_loc=220, cap_left=0, delivered=1, distance=1334.21</t>
  </si>
  <si>
    <t xml:space="preserve">  route (full nodes): [220, 179, 241, 253, 200, 204, 551, 258, 259, 252, 138, 550, 32, 694, 32, 550, 552, 139, 220]</t>
  </si>
  <si>
    <t xml:space="preserve">  route (full edges): [(220, 179), (179, 241), (241, 253), (253, 200), (200, 204), (204, 551), (551, 258), (258, 259), (259, 252), (252, 138), (138, 550), (550, 32), (32, 694), (694, 32), (32, 550), (550, 552), (552, 139), (139, 220)]</t>
  </si>
  <si>
    <t xml:space="preserve">  veh 1: end_loc=220, cap_left=0, delivered=1, distance=4955.08</t>
  </si>
  <si>
    <t xml:space="preserve">  route (full nodes): [220, 179, 241, 253, 200, 204, 551, 258, 259, 252, 138, 550, 32, 159, 32, 694, 32, 550, 552, 139, 255, 193, 258, 178, 206, 189, 177, 254, 205, 150, 127, 172, 472, 126, 84, 437, 470, 83, 79, 763, 60, 464, 606, 607, 604, 60, 763, 79, 83, 470, 437, 84, 126, 472, 172, 127, 150, 205, 254, 177, 189, 206, 178, 258, 193, 179, 220]</t>
  </si>
  <si>
    <t xml:space="preserve">  route (full edges): [(220, 179), (179, 241), (241, 253), (253, 200), (200, 204), (204, 551), (551, 258), (258, 259), (259, 252), (252, 138), (138, 550), (550, 32), (32, 159), (159, 32), (32, 694), (694, 32), (32, 550), (550, 552), (552, 139), (139, 255), (255, 193), (193, 258), (258, 178), (178, 206), (206, 189), (189, 177), (177, 254), (254, 205), (205, 150), (150, 127), (127, 172), (172, 472), (472, 126), (126, 84), (84, 437), (437, 470), (470, 83), (83, 79), (79, 763), (763, 60), (60, 464), (464, 606), (606, 607), (607, 604), (604, 60), (60, 763), (763, 79), (79, 83), (83, 470), (470, 437), (437, 84), (84, 126), (126, 472), (472, 172), (172, 127), (127, 150), (150, 205), (205, 254), (254, 177), (177, 189), (189, 206), (206, 178), (178, 258), (258, 193), (193, 179), (179, 220)]</t>
  </si>
  <si>
    <t xml:space="preserve">  veh 2: end_loc=220, cap_left=0, delivered=1, distance=9828.71</t>
  </si>
  <si>
    <t xml:space="preserve">  route (full nodes): [220, 179, 241, 253, 200, 204, 551, 258, 259, 252, 138, 550, 32, 159, 32, 694, 32, 550, 552, 139, 255, 193, 258, 178, 206, 189, 177, 254, 205, 150, 127, 172, 472, 126, 84, 437, 470, 83, 79, 763, 60, 604, 605, 66, 64, 63, 578, 577, 576, 140, 380, 461, 462, 377, 130, 521, 522, 115, 756, 114, 433, 113, 755, 477, 108, 100, 107, 99, 103, 98, 748, 96, 747, 748, 98, 103, 99, 107, 100, 108, 477, 755, 113, 433, 114, 756, 115, 522, 521, 130, 377, 209, 137, 168, 666, 626, 195, 247, 144, 233, 232, 192, 125, 166, 171, 128, 214, 227, 189, 206, 178, 258, 193, 179, 220]</t>
  </si>
  <si>
    <t xml:space="preserve">  route (full edges): [(220, 179), (179, 241), (241, 253), (253, 200), (200, 204), (204, 551), (551, 258), (258, 259), (259, 252), (252, 138), (138, 550), (550, 32), (32, 159), (159, 32), (32, 694), (694, 32), (32, 550), (550, 552), (552, 139), (139, 255), (255, 193), (193, 258), (258, 178), (178, 206), (206, 189), (189, 177), (177, 254), (254, 205), (205, 150), (150, 127), (127, 172), (172, 472), (472, 126), (126, 84), (84, 437), (437, 470), (470, 83), (83, 79), (79, 763), (763, 60), (60, 604), (604, 605), (605, 66), (66, 64), (64, 63), (63, 578), (578, 577), (577, 576), (576, 140), (140, 380), (380, 461), (461, 462), (462, 377), (377, 130), (130, 521), (521, 522), (522, 115), (115, 756), (756, 114), (114, 433), (433, 113), (113, 755), (755, 477), (477, 108), (108, 100), (100, 107), (107, 99), (99, 103), (103, 98), (98, 748), (748, 96), (96, 747), (747, 748), (748, 98), (98, 103), (103, 99), (99, 107), (107, 100), (100, 108), (108, 477), (477, 755), (755, 113), (113, 433), (433, 114), (114, 756), (756, 115), (115, 522), (522, 521), (521, 130), (130, 377), (377, 209), (209, 137), (137, 168), (168, 666), (666, 626), (626, 195), (195, 247), (247, 144), (144, 233), (233, 232), (232, 192), (192, 125), (125, 166), (166, 171), (171, 128), (128, 214), (214, 227), (227, 189), (189, 206), (206, 178), (178, 258), (258, 193), (193, 179), (179, 220)]</t>
  </si>
  <si>
    <t xml:space="preserve">  seg#1 label=EQ#1 (initial) | end_step=0 | dist=0.00 | cum=0.00 | delivered=0 | delivered_at=[] | path=[220] | edges=[]</t>
  </si>
  <si>
    <t xml:space="preserve">  seg#2 label=EQ#1 (r≈0.430) | end_step=118 | dist=1334.21 | cum=1334.21 | delivered=1 | delivered_at=[(694, 1)] | path=[220, 179, 241, 253, 200, 204, 551, 258, 259, 252, 138, 550, 32, 694, 32, 550, 552, 139, 220] | edges=[(220, 179), (179, 241), (241, 253), (253, 200), (200, 204), (204, 551), (551, 258), (258, 259), (259, 252), (252, 138), (138, 550), (550, 32), (32, 694), (694, 32), (32, 550), (550, 552), (552, 139), (139, 220)]</t>
  </si>
  <si>
    <t xml:space="preserve">  seg#3 label=FINAL | end_step=198 | dist=0.00 | cum=1334.21 | delivered=0 | delivered_at=[] | path=[220] | edges=[]</t>
  </si>
  <si>
    <t xml:space="preserve">  seg#2 label=EQ#1 (r≈0.430) | end_step=118 | dist=3704.57 | cum=3704.57 | delivered=1 | delivered_at=[(464, 1)] | path=[220, 179, 241, 253, 200, 204, 551, 258, 259, 252, 138, 550, 32, 159, 32, 694, 32, 550, 552, 139, 255, 193, 258, 178, 206, 189, 177, 254, 205, 150, 127, 172, 472, 126, 84, 437, 470, 83, 79, 763, 60, 464, 606, 607, 604, 60, 763, 79, 83, 470, 437] | edges=[(220, 179), (179, 241), (241, 253), (253, 200), (200, 204), (204, 551), (551, 258), (258, 259), (259, 252), (252, 138), (138, 550), (550, 32), (32, 159), (159, 32), (32, 694), (694, 32), (32, 550), (550, 552), (552, 139), (139, 255), (255, 193), (193, 258), (258, 178), (178, 206), (206, 189), (189, 177), (177, 254), (254, 205), (205, 150), (150, 127), (127, 172), (172, 472), (472, 126), (126, 84), (84, 437), (437, 470), (470, 83), (83, 79), (79, 763), (763, 60), (60, 464), (464, 606), (606, 607), (607, 604), (604, 60), (60, 763), (763, 79), (79, 83), (83, 470), (470, 437)]</t>
  </si>
  <si>
    <t xml:space="preserve">  seg#3 label=FINAL | end_step=198 | dist=1250.51 | cum=4955.08 | delivered=0 | delivered_at=[] | path=[437, 84, 126, 472, 172, 127, 150, 205, 254, 177, 189, 206, 178, 258, 193, 179, 220] | edges=[(437, 84), (84, 126), (126, 472), (472, 172), (172, 127), (127, 150), (150, 205), (205, 254), (254, 177), (177, 189), (189, 206), (206, 178), (178, 258), (258, 193), (193, 179), (179, 220)]</t>
  </si>
  <si>
    <t xml:space="preserve">  seg#2 label=EQ#1 (r≈0.430) | end_step=118 | dist=3625.27 | cum=3625.27 | delivered=0 | delivered_at=[] | path=[220, 179, 241, 253, 200, 204, 551, 258, 259, 252, 138, 550, 32, 159, 32, 694, 32, 550, 552, 139, 255, 193, 258, 178, 206, 189, 177, 254, 205, 150, 127, 172, 472, 126, 84, 437, 470, 83, 79, 763, 60, 604, 605, 66, 64, 63, 578, 577, 576, 140, 380] | edges=[(220, 179), (179, 241), (241, 253), (253, 200), (200, 204), (204, 551), (551, 258), (258, 259), (259, 252), (252, 138), (138, 550), (550, 32), (32, 159), (159, 32), (32, 694), (694, 32), (32, 550), (550, 552), (552, 139), (139, 255), (255, 193), (193, 258), (258, 178), (178, 206), (206, 189), (189, 177), (177, 254), (254, 205), (205, 150), (150, 127), (127, 172), (172, 472), (472, 126), (126, 84), (84, 437), (437, 470), (470, 83), (83, 79), (79, 763), (763, 60), (60, 604), (604, 605), (605, 66), (66, 64), (64, 63), (63, 578), (578, 577), (577, 576), (576, 140), (140, 380)]</t>
  </si>
  <si>
    <t xml:space="preserve">  seg#3 label=FINAL | end_step=198 | dist=6203.45 | cum=9828.71 | delivered=1 | delivered_at=[(748, 1)] | path=[380, 461, 462, 377, 130, 521, 522, 115, 756, 114, 433, 113, 755, 477, 108, 100, 107, 99, 103, 98, 748, 96, 747, 748, 98, 103, 99, 107, 100, 108, 477, 755, 113, 433, 114, 756, 115, 522, 521, 130, 377, 209, 137, 168, 666, 626, 195, 247, 144, 233, 232, 192, 125, 166, 171, 128, 214, 227, 189, 206, 178, 258, 193, 179, 220] | edges=[(380, 461), (461, 462), (462, 377), (377, 130), (130, 521), (521, 522), (522, 115), (115, 756), (756, 114), (114, 433), (433, 113), (113, 755), (755, 477), (477, 108), (108, 100), (100, 107), (107, 99), (99, 103), (103, 98), (98, 748), (748, 96), (96, 747), (747, 748), (748, 98), (98, 103), (103, 99), (99, 107), (107, 100), (100, 108), (108, 477), (477, 755), (755, 113), (113, 433), (433, 114), (114, 756), (756, 115), (115, 522), (522, 521), (521, 130), (130, 377), (377, 209), (209, 137), (137, 168), (168, 666), (666, 626), (626, 195), (195, 247), (247, 144), (144, 233), (233, 232), (232, 192), (192, 125), (125, 166), (166, 171), (171, 128), (128, 214), (214, 227), (227, 189), (189, 206), (206, 178), (178, 258), (258, 193), (193, 179), (179, 220)]      </t>
  </si>
  <si>
    <t>[RISK] critical degrees after protection: {220: 3, 464: 3, 694: 1, 748: 3}</t>
  </si>
  <si>
    <t>[SCENARIO 1] demands=[58, 517, 607, 623, 748] | total=5 | capacities=[2, 2, 1]</t>
  </si>
  <si>
    <t>[RISK@try0] r=0.4678 | closed_before=134 | closed_after=134 | reopened=0 | open_ratio=88.6%</t>
  </si>
  <si>
    <t>[Graph change] nonzero edges changed: 268 (r≈0.468). Recompute SP ...</t>
  </si>
  <si>
    <t>Kapanan yol adedi (undirected): 134 | Açıklık oranı: 88.6%</t>
  </si>
  <si>
    <t>Kapanan yollar (i&lt;j): [(3, 555), (7, 354), (8, 323), (10, 42), (10, 557), (13, 16), (19, 41), (24, 640), (24, 721), (25, 217), (30, 695), (32, 550), (33, 575), (39, 133), (43, 44), (48, 638), (52, 548), (53, 637), (54, 55), (59, 384), (67, 79), (68, 69), (69, 215), (71, 484), (78, 816), (80, 428), (84, 122), (87, 676), (90, 634), (92, 683), (93, 603), (93, 728), (94, 746), (105, 106), (108, 477), (114, 433), (118, 235), (118, 265), (119, 142), (119, 201), (120, 162), (120, 481), (131, 150), (132, 486), (136, 170), (137, 170), (143, 177), (145, 148), (147, 710), (153, 154), (166, 171), (167, 675), (172, 186), (178, 206), (179, 193), (180, 264), (192, 248), (194, 692), (201, 726), (221, 232), (223, 261), (226, 487), (228, 238), (234, 250), (249, 665), (251, 264), (260, 676), (266, 512), (270, 278), (272, 304), (274, 300), (283, 308), (284, 318), (288, 529), (294, 514), (296, 320), (306, 587), (311, 322), (316, 364), (317, 528), (320, 647), (325, 540), (342, 367), (345, 364), (357, 361), (362, 375), (363, 371), (386, 571), (387, 400), (387, 818), (392, 400), (411, 427), (413, 416), (413, 424), (414, 431), (416, 427), (417, 419), (433, 434), (441, 444), (447, 456), (466, 613), (467, 473), (470, 471), (475, 613), (479, 561), (479, 704), (494, 620), (495, 565), (507, 508), (526, 671), (528, 529), (534, 535), (534, 537), (554, 556), (555, 632), (564, 630), (582, 735), (590, 591), (594, 595), (600, 601), (614, 615), (620, 621), (639, 641), (656, 661), (657, 661), (712, 713), (713, 715), (753, 760), (776, 778), (783, 795), (786, 797), (796, 797), (799, 800), (803, 804)]</t>
  </si>
  <si>
    <t>- Target 607: reachable ✓  distance=1820.93 | path: [642, 157, 737, 643, 197, 141, 207, 175, 178, 183, 189, 177, 254, 205, 150, 127, 172, 472, 126, 84, 437, 470, 83, 483, 464, 606, 607]</t>
  </si>
  <si>
    <t>- Target 748: reachable ✓  distance=4004.28 | path: [642, 157, 19, 35, 158, 36, 38, 164, 240, 156, 210, 236, 203, 490, 482, 616, 247, 195, 626, 666, 168, 137, 209, 377, 130, 521, 522, 115, 756, 502, 112, 755, 477, 754, 108, 100, 107, 99, 103, 98, 748]</t>
  </si>
  <si>
    <t>- Target 58: reachable ✓  distance=1715.48 | path: [642, 157, 737, 643, 197, 141, 207, 175, 178, 183, 189, 177, 254, 205, 150, 127, 172, 472, 126, 84, 437, 85, 57, 56, 58]</t>
  </si>
  <si>
    <t>- Target 623: reachable ✓  distance=3246.53 | path: [642, 157, 19, 35, 158, 36, 38, 164, 240, 156, 210, 236, 203, 490, 482, 616, 247, 195, 626, 666, 669, 564, 563, 565, 630, 275, 568, 667, 623]</t>
  </si>
  <si>
    <t>- Target 517: reachable ✓  distance=514.68 | path: [642, 635, 636, 302, 53, 321, 638, 44, 48, 517]</t>
  </si>
  <si>
    <t>[veh=0] start=642 -&gt; end=642 | nodes=[642] | edges=[] | seg_dist=0.00 | cum_dist=0.00 | delivered_qty=0 | delivered_at=[]</t>
  </si>
  <si>
    <t>[veh=1] start=642 -&gt; end=642 | nodes=[642] | edges=[] | seg_dist=0.00 | cum_dist=0.00 | delivered_qty=0 | delivered_at=[]</t>
  </si>
  <si>
    <t>[veh=2] start=642 -&gt; end=642 | nodes=[642] | edges=[] | seg_dist=0.00 | cum_dist=0.00 | delivered_qty=0 | delivered_at=[]</t>
  </si>
  <si>
    <t>step=50 | hedef_açıklık≈88.0% | r≈0.430 | açık_oranı=83.6% | değişen_hücre=120</t>
  </si>
  <si>
    <t>Kapanan yollar (i&lt;j): [(0, 664), (5, 556), (31, 32), (46, 47), (72, 124), (73, 76), (76, 235), (81, 403), (82, 390), (90, 603), (93, 319), (94, 766), (95, 725), (96, 97), (102, 104), (102, 812), (110, 618), (110, 671), (114, 756), (115, 419), (116, 625), (122, 198), (125, 192), (128, 264), (135, 217), (159, 167), (179, 220), (188, 220), (245, 260), (271, 329), (279, 628), (296, 734), (327, 351), (334, 501), (341, 344), (351, 375), (352, 361), (356, 360), (381, 386), (382, 383), (400, 401), (402, 579), (442, 448), (445, 450), (450, 451), (455, 457), (509, 511), (563, 566), (573, 695), (580, 581), (585, 586), (635, 636), (635, 642), (639, 640), (672, 728), (767, 768), (768, 770), (779, 785), (781, 784), (788, 798)]</t>
  </si>
  <si>
    <t>[veh=0] start=642 -&gt; end=183 | nodes=[642, 15, 16, 558, 559, 560, 33, 41, 249, 40, 158, 35, 19, 559, 558, 16, 15, 14, 636, 302, 53, 321, 638, 44, 48, 517, 49, 647, 532, 533, 285, 49, 517, 48, 44, 638, 321, 53, 302, 636, 635, 642, 157, 737, 643, 197, 141, 207, 175, 178, 183] | edges=[(642, 15), (15, 16), (16, 558), (558, 559), (559, 560), (560, 33), (33, 41), (41, 249), (249, 40), (40, 158), (158, 35), (35, 19), (19, 559), (559, 558), (558, 16), (16, 15), (15, 14), (14, 636), (636, 302), (302, 53), (53, 321), (321, 638), (638, 44), (44, 48), (48, 517), (517, 49), (49, 647), (647, 532), (532, 533), (533, 285), (285, 49), (49, 517), (517, 48), (48, 44), (44, 638), (638, 321), (321, 53), (53, 302), (302, 636), (636, 635), (635, 642), (642, 157), (157, 737), (737, 643), (643, 197), (197, 141), (141, 207), (207, 175), (175, 178), (178, 183)] | seg_dist=3135.80 | cum_dist=3135.80 | delivered_qty=0 | delivered_at=[]</t>
  </si>
  <si>
    <t>[veh=1] start=642 -&gt; end=183 | nodes=[642, 15, 16, 558, 13, 733, 699, 704, 3, 376, 362, 4, 5, 6, 649, 339, 7, 8, 45, 512, 46, 47, 48, 517, 49, 299, 297, 314, 270, 268, 299, 297, 517, 48, 44, 638, 321, 53, 302, 636, 635, 642, 157, 737, 643, 197, 141, 207, 175, 178, 183] | edges=[(642, 15), (15, 16), (16, 558), (558, 13), (13, 733), (733, 699), (699, 704), (704, 3), (3, 376), (376, 362), (362, 4), (4, 5), (5, 6), (6, 649), (649, 339), (339, 7), (7, 8), (8, 45), (45, 512), (512, 46), (46, 47), (47, 48), (48, 517), (517, 49), (49, 299), (299, 297), (297, 314), (314, 270), (270, 268), (268, 299), (299, 297), (297, 517), (517, 48), (48, 44), (44, 638), (638, 321), (321, 53), (53, 302), (302, 636), (636, 635), (635, 642), (642, 157), (157, 737), (737, 643), (643, 197), (197, 141), (141, 207), (207, 175), (175, 178), (178, 183)] | seg_dist=2893.24 | cum_dist=2893.24 | delivered_qty=1 | delivered_at=[(517, 1)]</t>
  </si>
  <si>
    <t>[veh=2] start=642 -&gt; end=437 | nodes=[642, 15, 16, 558, 13, 733, 699, 704, 3, 376, 362, 4, 5, 6, 649, 339, 7, 8, 45, 512, 46, 47, 48, 44, 638, 321, 53, 302, 636, 14, 15, 157, 737, 643, 197, 141, 207, 175, 178, 183, 189, 177, 254, 205, 150, 127, 172, 472, 126, 84, 437] | edges=[(642, 15), (15, 16), (16, 558), (558, 13), (13, 733), (733, 699), (699, 704), (704, 3), (3, 376), (376, 362), (362, 4), (4, 5), (5, 6), (6, 649), (649, 339), (339, 7), (7, 8), (8, 45), (45, 512), (512, 46), (46, 47), (47,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437)] | seg_dist=3119.65 | cum_dist=3119.65 | delivered_qty=0 | delivered_at=[]</t>
  </si>
  <si>
    <t>[TEST] veh=2 terminal reason=empty_home, loc=642, steps_since_delivery=35</t>
  </si>
  <si>
    <t>[ONLINE-RISK] last-event min-close: +4 random undirected closures added.</t>
  </si>
  <si>
    <t>step=120 | hedef_açıklık≈92.0% | r≈0.455 | açık_oranı=83.1% | değişen_hücre=10</t>
  </si>
  <si>
    <t>Bu olayda kapanan yol adedi (undirected): 5</t>
  </si>
  <si>
    <t>Kapanan yollar (i&lt;j): [(83, 483), (141, 158), (423, 427), (527, 673), (680, 729)]</t>
  </si>
  <si>
    <t>[veh=0] start=183 -&gt; end=168 | nodes=[183, 189, 177, 254, 205, 150, 127, 172, 472, 126, 84, 437, 470, 83, 483, 464, 606, 607, 61, 62, 66, 64, 63, 578, 577, 576, 140, 380, 461, 462, 377, 130, 521, 522, 115, 756, 502, 112, 755, 477, 754, 108, 100, 107, 99, 103, 98, 748, 96, 747, 748, 98, 103, 99, 107, 100, 108, 754, 477, 755, 112, 502, 756, 115, 522, 521, 130, 377, 209, 137, 168] | edges=[(183,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168)] | seg_dist=6759.79 | cum_dist=9895.59 | delivered_qty=2 | delivered_at=[(607, 1), (748, 1)]</t>
  </si>
  <si>
    <t>[veh=1] start=183 -&gt; end=522 | nodes=[183, 189, 177, 254, 205, 150, 127, 172, 472, 126, 84, 437, 470, 83, 483, 464, 606, 607, 61, 62, 66, 64, 63, 578, 577, 576, 140, 380, 461, 462, 377, 130, 521, 522, 115, 756, 502, 112, 755, 477, 754, 108, 100, 107, 99, 103, 98, 814, 105, 103, 98, 748, 96, 747, 812, 611, 750, 751, 679, 414, 412, 410, 416, 424, 113, 655, 112, 502, 756, 115, 522] | edges=[(183,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814), (814, 105), (105, 103), (103, 98), (98, 748), (748, 96), (96, 747), (747, 812), (812, 611), (611, 750), (750, 751), (751, 679), (679, 414), (414, 412), (412, 410), (410, 416), (416, 424), (424, 113), (113, 655), (655, 112), (112, 502), (502, 756), (756, 115), (115, 522)] | seg_dist=6307.74 | cum_dist=9200.98 | delivered_qty=0 | delivered_at=[]</t>
  </si>
  <si>
    <t>[veh=2] start=437 -&gt; end=642 | nodes=[437, 85, 57, 56, 58, 385, 57, 85, 437, 84, 126, 472, 172, 127, 150, 205, 254, 177, 189, 183, 178, 175, 207, 141, 197, 643, 737, 157, 642] | edges=[(437, 85), (85, 57), (57, 56), (56, 58), (58, 385), (385, 57), (57, 85), (85, 437), (437, 84), (84, 126), (126, 472), (472, 172), (172, 127), (127, 150), (150, 205), (205, 254), (254, 177), (177, 189), (189, 183), (183, 178), (178, 175), (175, 207), (207, 141), (141, 197), (197, 643), (643, 737), (737, 157), (157, 642)] | seg_dist=2005.16 | cum_dist=5124.82 | delivered_qty=1 | delivered_at=[(58, 1)]</t>
  </si>
  <si>
    <t>[TEST] veh=0 terminal reason=vehicle_home, loc=642, steps_since_delivery=25</t>
  </si>
  <si>
    <t>[TEST] veh=1 terminal reason=solved, loc=642, steps_since_delivery=44</t>
  </si>
  <si>
    <t>[veh=0] start=168 -&gt; end=642 | nodes=[168, 666, 626, 195, 247, 616, 482, 490, 203, 236, 210, 156, 240, 164, 38, 36, 158, 35, 19, 157, 642] | edges=[(168, 666), (666, 626), (626, 195), (195, 247), (247, 616), (616, 482), (482, 490), (490, 203), (203, 236), (236, 210), (210, 156), (156, 240), (240, 164), (164, 38), (38, 36), (36, 158), (158, 35), (35, 19), (19, 157), (157, 642)] | seg_dist=1580.49 | cum_dist=11476.08 | delivered_qty=0 | delivered_at=[]</t>
  </si>
  <si>
    <t>[veh=1] start=522 -&gt; end=642 | nodes=[522, 521, 130, 1, 549, 568, 667, 623, 315, 496, 623, 667, 568, 275, 630, 565, 563, 564, 669, 666, 626, 195, 247, 616, 482, 490, 203, 236, 210, 156, 240, 164, 38, 36, 158, 35, 19, 157, 642] | edges=[(522, 521), (521, 130), (130, 1), (1, 549), (549, 568), (568, 667), (667, 623), (623, 315), (315, 496), (496, 623), (623, 667), (667, 568), (568, 275), (275, 630), (630, 565), (565, 563), (563, 564), (564, 669), (669, 666), (666, 626), (626, 195), (195, 247), (247, 616), (616, 482), (482, 490), (490, 203), (203, 236), (236, 210), (210, 156), (156, 240), (240, 164), (164, 38), (38, 36), (36, 158), (158, 35), (35, 19), (19, 157), (157, 642)] | seg_dist=6106.02 | cum_dist=15307.00 | delivered_qty=1 | delivered_at=[(623, 1)]</t>
  </si>
  <si>
    <t>[veh=2] start=642 -&gt; end=642 | nodes=[642] | edges=[] | seg_dist=0.00 | cum_dist=5124.82 | delivered_qty=0 | delivered_at=[]</t>
  </si>
  <si>
    <t>Total shaped reward: 38.650 | deliveries=5 | backtracks=0</t>
  </si>
  <si>
    <t xml:space="preserve">  veh 0: end_loc=642, cap_left=0, delivered=2, distance=11476.08</t>
  </si>
  <si>
    <t xml:space="preserve">  route (full nodes): [642, 15, 16, 558, 559, 560, 33, 41, 249, 40, 158, 35, 19, 559, 558, 16, 15, 14, 636, 302, 53, 321, 638, 44, 48, 517, 49, 647, 532, 533, 285, 49, 517, 48, 44, 638, 321, 53, 302, 636, 635, 642, 157, 737, 643, 197, 141, 207, 175, 178, 183, 189, 177, 254, 205, 150, 127, 172, 472, 126, 84, 437, 470, 83, 483, 464, 606, 607, 61, 62, 66, 64, 63, 578, 577, 576, 140, 380, 461, 462, 377, 130, 521, 522, 115, 756, 502, 112, 755, 477, 754, 108, 100, 107, 99, 103, 98, 748, 96, 747, 748, 98, 103, 99, 107, 100, 108, 754, 477, 755, 112, 502, 756, 115, 522, 521, 130, 377, 209, 137, 168, 666, 626, 195, 247, 616, 482, 490, 203, 236, 210, 156, 240, 164, 38, 36, 158, 35, 19, 157, 642]</t>
  </si>
  <si>
    <t xml:space="preserve">  route (full edges): [(642, 15), (15, 16), (16, 558), (558, 559), (559, 560), (560, 33), (33, 41), (41, 249), (249, 40), (40, 158), (158, 35), (35, 19), (19, 559), (559, 558), (558, 16), (16, 15), (15, 14), (14, 636), (636, 302), (302, 53), (53, 321), (321, 638), (638, 44), (44, 48), (48, 517), (517, 49), (49, 647), (647, 532), (532, 533), (533, 285), (285, 49), (49, 517), (517, 48), (48, 44), (44, 638), (638, 321), (321, 53), (53, 302), (302, 636), (636, 635), (635, 642), (642,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210), (210, 156), (156, 240), (240, 164), (164, 38), (38, 36), (36, 158), (158, 35), (35, 19), (19, 157), (157, 642)]</t>
  </si>
  <si>
    <t xml:space="preserve">  veh 1: end_loc=642, cap_left=0, delivered=2, distance=15307.00</t>
  </si>
  <si>
    <t xml:space="preserve">  route (full nodes): [642, 15, 16, 558, 13, 733, 699, 704, 3, 376, 362, 4, 5, 6, 649, 339, 7, 8, 45, 512, 46, 47, 48, 517, 49, 299, 297, 314, 270, 268, 299, 297, 517, 48, 44, 638, 321, 53, 302, 636, 635, 642, 157, 737, 643, 197, 141, 207, 175, 178, 183, 189, 177, 254, 205, 150, 127, 172, 472, 126, 84, 437, 470, 83, 483, 464, 606, 607, 61, 62, 66, 64, 63, 578, 577, 576, 140, 380, 461, 462, 377, 130, 521, 522, 115, 756, 502, 112, 755, 477, 754, 108, 100, 107, 99, 103, 98, 814, 105, 103, 98, 748, 96, 747, 812, 611, 750, 751, 679, 414, 412, 410, 416, 424, 113, 655, 112, 502, 756, 115, 522, 521, 130, 1, 549, 568, 667, 623, 315, 496, 623, 667, 568, 275, 630, 565, 563, 564, 669, 666, 626, 195, 247, 616, 482, 490, 203, 236, 210, 156, 240, 164, 38, 36, 158, 35, 19, 157, 642]</t>
  </si>
  <si>
    <t xml:space="preserve">  route (full edges): [(642, 15), (15, 16), (16, 558), (558, 13), (13, 733), (733, 699), (699, 704), (704, 3), (3, 376), (376, 362), (362, 4), (4, 5), (5, 6), (6, 649), (649, 339), (339, 7), (7, 8), (8, 45), (45, 512), (512, 46), (46, 47), (47, 48), (48, 517), (517, 49), (49, 299), (299, 297), (297, 314), (314, 270), (270, 268), (268, 299), (299, 297), (297, 517), (517, 48), (48, 44), (44, 638), (638, 321), (321, 53), (53, 302), (302, 636), (636, 635), (635, 642), (642,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814), (814, 105), (105, 103), (103, 98), (98, 748), (748, 96), (96, 747), (747, 812), (812, 611), (611, 750), (750, 751), (751, 679), (679, 414), (414, 412), (412, 410), (410, 416), (416, 424), (424, 113), (113, 655), (655, 112), (112, 502), (502, 756), (756, 115), (115, 522), (522, 521), (521, 130), (130, 1), (1, 549), (549, 568), (568, 667), (667, 623), (623, 315), (315, 496), (496, 623), (623, 667), (667, 568), (568, 275), (275, 630), (630, 565), (565, 563), (563, 564), (564, 669), (669, 666), (666, 626), (626, 195), (195, 247), (247, 616), (616, 482), (482, 490), (490, 203), (203, 236), (236, 210), (210, 156), (156, 240), (240, 164), (164, 38), (38, 36), (36, 158), (158, 35), (35, 19), (19, 157), (157, 642)]</t>
  </si>
  <si>
    <t xml:space="preserve">  veh 2: end_loc=642, cap_left=0, delivered=1, distance=5124.82</t>
  </si>
  <si>
    <t xml:space="preserve">  route (full nodes): [642, 15, 16, 558, 13, 733, 699, 704, 3, 376, 362, 4, 5, 6, 649, 339, 7, 8, 45, 512, 46, 47, 48, 44, 638, 321, 53, 302, 636, 14, 15, 157, 737, 643, 197, 141, 207, 175, 178, 183, 189, 177, 254, 205, 150, 127, 172, 472, 126, 84, 437, 85, 57, 56, 58, 385, 57, 85, 437, 84, 126, 472, 172, 127, 150, 205, 254, 177, 189, 183, 178, 175, 207, 141, 197, 643, 737, 157, 642]</t>
  </si>
  <si>
    <t xml:space="preserve">  route (full edges): [(642, 15), (15, 16), (16, 558), (558, 13), (13, 733), (733, 699), (699, 704), (704, 3), (3, 376), (376, 362), (362, 4), (4, 5), (5, 6), (6, 649), (649, 339), (339, 7), (7, 8), (8, 45), (45, 512), (512, 46), (46, 47), (47,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85), (85, 57), (57, 56), (56, 58), (58, 385), (385, 57), (57, 85), (85, 437), (437, 84), (84, 126), (126, 472), (472, 172), (172, 127), (127, 150), (150, 205), (205, 254), (254, 177), (177, 189), (189, 183), (183, 178), (178, 175), (175, 207), (207, 141), (141, 197), (197, 643), (643, 737), (737, 157), (157, 642)]</t>
  </si>
  <si>
    <t xml:space="preserve">  seg#1 label=EQ#1 (initial) | end_step=0 | dist=0.00 | cum=0.00 | delivered=0 | delivered_at=[] | path=[642] | edges=[]</t>
  </si>
  <si>
    <t xml:space="preserve">  seg#2 label=EQ#1 (r≈0.430) | end_step=150 | dist=3135.80 | cum=3135.80 | delivered=0 | delivered_at=[] | path=[642, 15, 16, 558, 559, 560, 33, 41, 249, 40, 158, 35, 19, 559, 558, 16, 15, 14, 636, 302, 53, 321, 638, 44, 48, 517, 49, 647, 532, 533, 285, 49, 517, 48, 44, 638, 321, 53, 302, 636, 635, 642, 157, 737, 643, 197, 141, 207, 175, 178, 183] | edges=[(642, 15), (15, 16), (16, 558), (558, 559), (559, 560), (560, 33), (33, 41), (41, 249), (249, 40), (40, 158), (158, 35), (35, 19), (19, 559), (559, 558), (558, 16), (16, 15), (15, 14), (14, 636), (636, 302), (302, 53), (53, 321), (321, 638), (638, 44), (44, 48), (48, 517), (517, 49), (49, 647), (647, 532), (532, 533), (533, 285), (285, 49), (49, 517), (517, 48), (48, 44), (44, 638), (638, 321), (321, 53), (53, 302), (302, 636), (636, 635), (635, 642), (642, 157), (157, 737), (737, 643), (643, 197), (197, 141), (141, 207), (207, 175), (175, 178), (178, 183)]</t>
  </si>
  <si>
    <t xml:space="preserve">  seg#3 label=EQ#2 (r≈0.455) | end_step=318 | dist=6759.79 | cum=9895.59 | delivered=2 | delivered_at=[(607, 1), (748, 1)] | path=[183, 189, 177, 254, 205, 150, 127, 172, 472, 126, 84, 437, 470, 83, 483, 464, 606, 607, 61, 62, 66, 64, 63, 578, 577, 576, 140, 380, 461, 462, 377, 130, 521, 522, 115, 756, 502, 112, 755, 477, 754, 108, 100, 107, 99, 103, 98, 748, 96, 747, 748, 98, 103, 99, 107, 100, 108, 754, 477, 755, 112, 502, 756, 115, 522, 521, 130, 377, 209, 137, 168] | edges=[(183,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168)]</t>
  </si>
  <si>
    <t xml:space="preserve">  seg#4 label=FINAL | end_step=376 | dist=1580.49 | cum=11476.08 | delivered=0 | delivered_at=[] | path=[168, 666, 626, 195, 247, 616, 482, 490, 203, 236, 210, 156, 240, 164, 38, 36, 158, 35, 19, 157, 642] | edges=[(168, 666), (666, 626), (626, 195), (195, 247), (247, 616), (616, 482), (482, 490), (490, 203), (203, 236), (236, 210), (210, 156), (156, 240), (240, 164), (164, 38), (38, 36), (36, 158), (158, 35), (35, 19), (19, 157), (157, 642)]</t>
  </si>
  <si>
    <t xml:space="preserve">  seg#2 label=EQ#1 (r≈0.430) | end_step=150 | dist=2893.24 | cum=2893.24 | delivered=1 | delivered_at=[(517, 1)] | path=[642, 15, 16, 558, 13, 733, 699, 704, 3, 376, 362, 4, 5, 6, 649, 339, 7, 8, 45, 512, 46, 47, 48, 517, 49, 299, 297, 314, 270, 268, 299, 297, 517, 48, 44, 638, 321, 53, 302, 636, 635, 642, 157, 737, 643, 197, 141, 207, 175, 178, 183] | edges=[(642, 15), (15, 16), (16, 558), (558, 13), (13, 733), (733, 699), (699, 704), (704, 3), (3, 376), (376, 362), (362, 4), (4, 5), (5, 6), (6, 649), (649, 339), (339, 7), (7, 8), (8, 45), (45, 512), (512, 46), (46, 47), (47, 48), (48, 517), (517, 49), (49, 299), (299, 297), (297, 314), (314, 270), (270, 268), (268, 299), (299, 297), (297, 517), (517, 48), (48, 44), (44, 638), (638, 321), (321, 53), (53, 302), (302, 636), (636, 635), (635, 642), (642, 157), (157, 737), (737, 643), (643, 197), (197, 141), (141, 207), (207, 175), (175, 178), (178, 183)]</t>
  </si>
  <si>
    <t xml:space="preserve">  seg#3 label=EQ#2 (r≈0.455) | end_step=318 | dist=6307.74 | cum=9200.98 | delivered=0 | delivered_at=[] | path=[183, 189, 177, 254, 205, 150, 127, 172, 472, 126, 84, 437, 470, 83, 483, 464, 606, 607, 61, 62, 66, 64, 63, 578, 577, 576, 140, 380, 461, 462, 377, 130, 521, 522, 115, 756, 502, 112, 755, 477, 754, 108, 100, 107, 99, 103, 98, 814, 105, 103, 98, 748, 96, 747, 812, 611, 750, 751, 679, 414, 412, 410, 416, 424, 113, 655, 112, 502, 756, 115, 522] | edges=[(183, 189), (189, 177), (177, 254), (254, 205), (205, 150), (150, 127), (127, 172), (172, 472), (472, 126), (126, 84), (84, 437), (437, 470), (470, 83), (83, 483), (483, 464), (464, 606), (606, 607), (607, 61), (61, 62), (62, 66), (66, 64), (64,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814), (814, 105), (105, 103), (103, 98), (98, 748), (748, 96), (96, 747), (747, 812), (812, 611), (611, 750), (750, 751), (751, 679), (679, 414), (414, 412), (412, 410), (410, 416), (416, 424), (424, 113), (113, 655), (655, 112), (112, 502), (502, 756), (756, 115), (115, 522)]</t>
  </si>
  <si>
    <t xml:space="preserve">  seg#4 label=FINAL | end_step=376 | dist=6106.02 | cum=15307.00 | delivered=1 | delivered_at=[(623, 1)] | path=[522, 521, 130, 1, 549, 568, 667, 623, 315, 496, 623, 667, 568, 275, 630, 565, 563, 564, 669, 666, 626, 195, 247, 616, 482, 490, 203, 236, 210, 156, 240, 164, 38, 36, 158, 35, 19, 157, 642] | edges=[(522, 521), (521, 130), (130, 1), (1, 549), (549, 568), (568, 667), (667, 623), (623, 315), (315, 496), (496, 623), (623, 667), (667, 568), (568, 275), (275, 630), (630, 565), (565, 563), (563, 564), (564, 669), (669, 666), (666, 626), (626, 195), (195, 247), (247, 616), (616, 482), (482, 490), (490, 203), (203, 236), (236, 210), (210, 156), (156, 240), (240, 164), (164, 38), (38, 36), (36, 158), (158, 35), (35, 19), (19, 157), (157, 642)]</t>
  </si>
  <si>
    <t xml:space="preserve">  seg#2 label=EQ#1 (r≈0.430) | end_step=150 | dist=3119.65 | cum=3119.65 | delivered=0 | delivered_at=[] | path=[642, 15, 16, 558, 13, 733, 699, 704, 3, 376, 362, 4, 5, 6, 649, 339, 7, 8, 45, 512, 46, 47, 48, 44, 638, 321, 53, 302, 636, 14, 15, 157, 737, 643, 197, 141, 207, 175, 178, 183, 189, 177, 254, 205, 150, 127, 172, 472, 126, 84, 437] | edges=[(642, 15), (15, 16), (16, 558), (558, 13), (13, 733), (733, 699), (699, 704), (704, 3), (3, 376), (376, 362), (362, 4), (4, 5), (5, 6), (6, 649), (649, 339), (339, 7), (7, 8), (8, 45), (45, 512), (512, 46), (46, 47), (47,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437)]</t>
  </si>
  <si>
    <t xml:space="preserve">  seg#3 label=EQ#2 (r≈0.455) | end_step=318 | dist=2005.16 | cum=5124.82 | delivered=1 | delivered_at=[(58, 1)] | path=[437, 85, 57, 56, 58, 385, 57, 85, 437, 84, 126, 472, 172, 127, 150, 205, 254, 177, 189, 183, 178, 175, 207, 141, 197, 643, 737, 157, 642] | edges=[(437, 85), (85, 57), (57, 56), (56, 58), (58, 385), (385, 57), (57, 85), (85, 437), (437, 84), (84, 126), (126, 472), (472, 172), (172, 127), (127, 150), (150, 205), (205, 254), (254, 177), (177, 189), (189, 183), (183, 178), (178, 175), (175, 207), (207, 141), (141, 197), (197, 643), (643, 737), (737, 157), (157, 642)]</t>
  </si>
  <si>
    <t xml:space="preserve">  seg#4 label=FINAL | end_step=376 | dist=0.00 | cum=5124.82 | delivered=0 | delivered_at=[] | path=[642] | edges=[]</t>
  </si>
  <si>
    <t>[RISK] critical degrees after protection: {642: 3, 58: 2, 517: 3, 607: 3, 623: 3, 748: 3}</t>
  </si>
  <si>
    <t>[RISK@try0] r=0.4744 | closed_before=105 | closed_after=100 | reopened=5 | open_ratio=91.5%</t>
  </si>
  <si>
    <t>[Graph change] nonzero edges changed: 200 (r≈0.474). Recompute SP ...</t>
  </si>
  <si>
    <t>Kapanan yol adedi (undirected): 100 | Açıklık oranı: 91.5%</t>
  </si>
  <si>
    <t>Kapanan yollar (i&lt;j): [(3, 555), (7, 354), (8, 323), (10, 42), (10, 557), (19, 41), (24, 721), (25, 217), (39, 133), (48, 638), (52, 548), (54, 55), (59, 384), (67, 79), (68, 69), (69, 215), (71, 484), (78, 816), (80, 428), (84, 122), (87, 676), (90, 634), (92, 683), (93, 603), (93, 728), (94, 746), (105, 106), (108, 477), (114, 433), (118, 235), (119, 142), (119, 201), (120, 481), (131, 150), (132, 486), (147, 710), (153, 154), (166, 171), (167, 675), (179, 193), (180, 264), (192, 248), (201, 726), (223, 261), (226, 487), (234, 250), (249, 665), (251, 264), (266, 512), (270, 278), (272, 304), (274, 300), (283, 308), (284, 318), (288, 529), (294, 514), (306, 587), (311, 322), (316, 364), (317, 528), (325, 540), (342, 367), (345, 364), (362, 375), (363, 371), (386, 571), (387, 400), (387, 818), (411, 427), (413, 416), (414, 431), (416, 427), (417, 419), (441, 444), (447, 456), (466, 613), (467, 473), (475, 613), (479, 561), (494, 620), (507, 508), (526, 671), (528, 529), (534, 535), (554, 556), (555, 632), (582, 735), (590, 591), (594, 595), (600, 601), (620, 621), (639, 641), (657, 661), (712, 713), (753, 760), (776, 778), (786, 797), (796, 797), (799, 800), (803, 804)]</t>
  </si>
  <si>
    <t>- Target 748: reachable ✓  distance=2788.89 | path: [495, 565, 630, 564, 669, 666, 168, 137, 209, 377, 130, 521, 522, 115, 756, 502, 112, 755, 477, 754, 108, 100, 107, 99, 103, 98, 748]</t>
  </si>
  <si>
    <t>- Target 464: reachable ✓  distance=1702.08 | path: [495, 565, 630, 564, 669, 666, 626, 195, 247, 144, 233, 488, 486, 75, 74, 73, 72, 124, 215, 460, 472, 126, 84, 437, 470, 83, 483, 464]</t>
  </si>
  <si>
    <t>- Target 43: reachable ✓  distance=2037.66 | path: [495, 565, 630, 564, 669, 305, 319, 498, 500, 373, 631, 366, 346, 349, 503, 313, 343, 326, 374, 368, 350, 478, 3, 376, 362, 4, 5, 6, 649, 339, 648, 651, 436, 43]</t>
  </si>
  <si>
    <t>- Target 819: reachable ✓  distance=2858.08 | path: [495, 565, 630, 564, 669, 305, 319, 498, 500, 373, 631, 366, 346, 349, 503, 313, 343, 326, 357, 324, 744, 298, 743, 277, 335, 271, 329, 323, 9, 539, 599, 273, 309, 287, 588, 286, 307, 587, 294, 290, 594, 602, 546, 596, 509, 322, 289, 819]</t>
  </si>
  <si>
    <t>- Target 392: reachable ✓  distance=1748.77 | path: [495, 565, 630, 564, 669, 666, 168, 211, 256, 237, 155, 162, 120, 123, 576, 577, 578, 63, 614, 615, 480, 608, 609, 401, 400, 392]</t>
  </si>
  <si>
    <t>- Target 575: reachable ✓  distance=1477.63 | path: [495, 565, 630, 564, 669, 666, 626, 195, 247, 616, 482, 490, 203, 236, 243, 185, 732, 34, 731, 575]</t>
  </si>
  <si>
    <t>[veh=0] start=495 -&gt; end=495 | nodes=[495] | edges=[] | seg_dist=0.00 | cum_dist=0.00 | delivered_qty=0 | delivered_at=[]</t>
  </si>
  <si>
    <t>[veh=1] start=495 -&gt; end=495 | nodes=[495] | edges=[] | seg_dist=0.00 | cum_dist=0.00 | delivered_qty=0 | delivered_at=[]</t>
  </si>
  <si>
    <t>[veh=2] start=495 -&gt; end=495 | nodes=[495] | edges=[] | seg_dist=0.00 | cum_dist=0.00 | delivered_qty=0 | delivered_at=[]</t>
  </si>
  <si>
    <t>step=50 | hedef_açıklık≈88.0% | r≈0.430 | açık_oranı=86.4% | değişen_hücre=120</t>
  </si>
  <si>
    <t>Kapanan yollar (i&lt;j): [(13, 16), (24, 640), (30, 695), (32, 550), (33, 575), (43, 44), (53, 637), (73, 76), (82, 390), (90, 603), (93, 319), (94, 766), (95, 725), (102, 104), (110, 618), (115, 419), (116, 625), (118, 265), (122, 198), (128, 264), (136, 170), (137, 170), (143, 177), (145, 148), (172, 186), (178, 206), (188, 220), (194, 692), (210, 236), (221, 232), (228, 238), (245, 260), (260, 676), (296, 320), (296, 734), (320, 647), (327, 351), (334, 501), (352, 361), (357, 361), (413, 424), (433, 434), (445, 450), (450, 451), (470, 471), (509, 511), (534, 537), (563, 566), (573, 695), (580, 581), (635, 636), (635, 642), (656, 661), (672, 728), (713, 715), (767, 768), (768, 770), (779, 785), (783, 795), (788, 798)]</t>
  </si>
  <si>
    <t>[veh=0] start=495 -&gt; end=368 | nodes=[495, 565, 630, 564, 669, 666, 626, 195, 247, 616, 482, 490, 203, 236, 243, 185, 732, 34, 731, 575, 33, 41, 249, 40, 158, 141, 197, 643, 737, 157, 642, 635, 636, 302, 53, 637, 43, 436, 651, 648, 339, 649, 6, 5, 4, 362, 376, 3, 478, 350, 368] | edges=[(495,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436), (436, 651), (651, 648), (648, 339), (339, 649), (649, 6), (6, 5), (5, 4), (4, 362), (362, 376), (376, 3), (3, 478), (478, 350), (350, 368)] | seg_dist=3126.39 | cum_dist=3126.39 | delivered_qty=2 | delivered_at=[(43, 1), (575, 1)]</t>
  </si>
  <si>
    <t>[veh=1] start=495 -&gt; end=542 | nodes=[495, 565, 630, 564, 669, 666, 626, 195, 247, 616, 482, 490, 203, 236, 243, 185, 732, 34, 731, 575, 33, 41, 249, 40, 158, 141, 197, 643, 737, 157, 642, 635, 636, 302, 53, 637, 43, 44, 638, 321, 300, 574, 320, 647, 49, 285, 50, 51, 52, 513, 542] | edges=[(495,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44), (44, 638), (638, 321), (321, 300), (300, 574), (574, 320), (320, 647), (647, 49), (49, 285), (285, 50), (50, 51), (51, 52), (52, 513), (513, 542)] | seg_dist=3245.45 | cum_dist=3245.45 | delivered_qty=0 | delivered_at=[]</t>
  </si>
  <si>
    <t>[veh=2] start=495 -&gt; end=542 | nodes=[495, 565, 630, 564, 669, 666, 626, 195, 247, 616, 482, 490, 203, 236, 243, 185, 732, 34, 731, 575, 33, 41, 249, 40, 158, 141, 197, 643, 737, 157, 642, 635, 636, 302, 53, 637, 43, 44, 638, 321, 300, 574, 320, 647, 49, 285, 50, 51, 52, 513, 542] | edges=[(495,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44), (44, 638), (638, 321), (321, 300), (300, 574), (574, 320), (320, 647), (647, 49), (49, 285), (285, 50), (50, 51), (51, 52), (52, 513), (513, 542)] | seg_dist=3245.45 | cum_dist=3245.45 | delivered_qty=0 | delivered_at=[]</t>
  </si>
  <si>
    <t>[TEST] veh=0 terminal reason=empty_home, loc=495, steps_since_delivery=32</t>
  </si>
  <si>
    <t>step=120 | hedef_açıklık≈92.0% | r≈0.455 | açık_oranı=84.8% | değişen_hücre=38</t>
  </si>
  <si>
    <t>Bu olayda kapanan yol adedi (undirected): 19</t>
  </si>
  <si>
    <t>Kapanan yollar (i&lt;j): [(0, 664), (5, 556), (31, 32), (46, 47), (76, 235), (83, 483), (102, 812), (125, 192), (179, 220), (271, 329), (279, 628), (341, 344), (381, 386), (382, 383), (402, 579), (442, 448), (479, 704), (585, 586), (639, 640)]</t>
  </si>
  <si>
    <t>[veh=0] start=368 -&gt; end=495 | nodes=[368, 374, 326, 343, 313, 503, 349, 346, 366, 631, 373, 500, 498, 319, 305, 669, 564, 630, 565, 495] | edges=[(368, 374), (374, 326), (326, 343), (343, 313), (313, 503), (503, 349), (349, 346), (346, 366), (366, 631), (631, 373), (373, 500), (500, 498), (498, 319), (319, 305), (305, 669), (669, 564), (564, 630), (630, 565), (565, 495)] | seg_dist=1481.90 | cum_dist=4608.29 | delivered_qty=0 | delivered_at=[]</t>
  </si>
  <si>
    <t>[veh=1] start=542 -&gt; end=237 | nodes=[542, 543, 602, 546, 596, 509, 322, 289, 819, 820, 819, 289, 295, 311, 293, 544, 543, 542, 513, 52, 51, 50, 285, 49, 517, 48, 44, 638, 321, 53, 302, 636, 14, 15, 157, 737, 643, 197, 141, 207, 175, 178, 183, 189, 177, 254, 205, 150, 127, 172, 472, 126, 84, 437, 470, 83, 483, 464, 60, 604, 607, 61, 62, 578, 577, 576, 123, 120, 162, 155, 237] | edges=[(542, 543), (543, 602), (602, 546), (546, 596), (596, 509), (509, 322), (322, 289), (289, 819), (819, 820), (820, 819), (819, 289), (289, 295), (295, 311), (311, 293), (293, 544), (544, 543), (543, 542), (542, 513), (513, 52), (52, 51), (51, 50), (50, 285), (285,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60), (60, 604), (604, 607), (607, 61), (61, 62), (62, 578), (578, 577), (577, 576), (576, 123), (123, 120), (120, 162), (162, 155), (155, 237)] | seg_dist=4600.05 | cum_dist=7845.50 | delivered_qty=2 | delivered_at=[(464, 1), (819, 1)]</t>
  </si>
  <si>
    <t>[veh=2] start=542 -&gt; end=397 | nodes=[542, 543, 602, 546, 596, 509, 322, 289, 819, 820, 819, 289, 295, 283, 293, 544, 543, 542, 513, 52, 51, 50, 285, 49, 517, 48, 44, 638, 321, 53, 302, 636, 14, 15, 157, 737, 643, 197, 141, 207, 175, 178, 183, 189, 177, 254, 205, 150, 127, 172, 472, 126, 84, 437, 470, 83, 483, 464, 60, 604, 605, 66, 64, 615, 480, 608, 609, 401, 400, 392, 397] | edges=[(542, 543), (543, 602), (602, 546), (546, 596), (596, 509), (509, 322), (322, 289), (289, 819), (819, 820), (820, 819), (819, 289), (289, 295), (295, 283), (283, 293), (293, 544), (544, 543), (543, 542), (542, 513), (513, 52), (52, 51), (51, 50), (50, 285), (285,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60), (60, 604), (604, 605), (605, 66), (66, 64), (64, 615), (615, 480), (480, 608), (608, 609), (609, 401), (401, 400), (400, 392), (392, 397)] | seg_dist=4287.95 | cum_dist=7533.40 | delivered_qty=1 | delivered_at=[(392, 1)]</t>
  </si>
  <si>
    <t>[TEST] veh=1 terminal reason=empty_home, loc=495, steps_since_delivery=19</t>
  </si>
  <si>
    <t>[TEST] veh=2 terminal reason=solved, loc=495, steps_since_delivery=29</t>
  </si>
  <si>
    <t>[veh=0] start=495 -&gt; end=495 | nodes=[495] | edges=[] | seg_dist=0.00 | cum_dist=4608.29 | delivered_qty=0 | delivered_at=[]</t>
  </si>
  <si>
    <t>[veh=1] start=237 -&gt; end=495 | nodes=[237, 256, 211, 168, 666, 669, 564, 630, 565, 495] | edges=[(237, 256), (256, 211), (211, 168), (168, 666), (666, 669), (669, 564), (564, 630), (630, 565), (565, 495)] | seg_dist=535.29 | cum_dist=8380.78 | delivered_qty=0 | delivered_at=[]</t>
  </si>
  <si>
    <t>[veh=2] start=397 -&gt; end=495 | nodes=[397, 392, 400, 401, 398, 395, 579, 398, 395, 480, 615, 614, 63, 578, 577, 576, 140, 380, 461, 462, 377, 130, 521, 522, 115, 756, 502, 112, 755, 477, 754, 108, 100, 107, 99, 103, 98, 748, 96, 747, 748, 98, 103, 99, 107, 100, 108, 754, 477, 755, 112, 502, 756, 115, 522, 521, 130, 377, 209, 137, 168, 666, 669, 564, 630, 565, 495] | edges=[(397, 392), (392, 400), (400, 401), (401, 398), (398, 395), (395, 579), (579, 398), (398, 395), (395, 480), (480, 615), (615, 614), (614,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669), (669, 564), (564, 630), (630, 565), (565, 495)] | seg_dist=6875.72 | cum_dist=14409.12 | delivered_qty=1 | delivered_at=[(748, 1)]</t>
  </si>
  <si>
    <t>Total shaped reward: 12.420 | deliveries=6 | backtracks=3</t>
  </si>
  <si>
    <t xml:space="preserve">  veh 0: end_loc=495, cap_left=0, delivered=2, distance=4608.29</t>
  </si>
  <si>
    <t xml:space="preserve">  route (full nodes): [495, 565, 630, 564, 669, 666, 626, 195, 247, 616, 482, 490, 203, 236, 243, 185, 732, 34, 731, 575, 33, 41, 249, 40, 158, 141, 197, 643, 737, 157, 642, 635, 636, 302, 53, 637, 43, 436, 651, 648, 339, 649, 6, 5, 4, 362, 376, 3, 478, 350, 368, 374, 326, 343, 313, 503, 349, 346, 366, 631, 373, 500, 498, 319, 305, 669, 564, 630, 565, 495]</t>
  </si>
  <si>
    <t xml:space="preserve">  route (full edges): 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436), (436, 651), (651, 648), (648, 339), (339, 649), (649, 6), (6, 5), (5, 4), (4, 362), (362, 376), (376, 3), (3, 478), (478, 350), (350, 368), (368, 374), (374, 326), (326, 343), (343, 313), (313, 503), (503, 349), (349, 346), (346, 366), (366, 631), (631, 373), (373, 500), (500, 498), (498, 319), (319, 305), (305, 669), (669, 564), (564, 630), (630, 565), (565, 495)]</t>
  </si>
  <si>
    <t xml:space="preserve">  veh 1: end_loc=495, cap_left=0, delivered=2, distance=8380.78</t>
  </si>
  <si>
    <t xml:space="preserve">  route (full nodes): [495, 565, 630, 564, 669, 666, 626, 195, 247, 616, 482, 490, 203, 236, 243, 185, 732, 34, 731, 575, 33, 41, 249, 40, 158, 141, 197, 643, 737, 157, 642, 635, 636, 302, 53, 637, 43, 44, 638, 321, 300, 574, 320, 647, 49, 285, 50, 51, 52, 513, 542, 543, 602, 546, 596, 509, 322, 289, 819, 820, 819, 289, 295, 311, 293, 544, 543, 542, 513, 52, 51, 50, 285, 49, 517, 48, 44, 638, 321, 53, 302, 636, 14, 15, 157, 737, 643, 197, 141, 207, 175, 178, 183, 189, 177, 254, 205, 150, 127, 172, 472, 126, 84, 437, 470, 83, 483, 464, 60, 604, 607, 61, 62, 578, 577, 576, 123, 120, 162, 155, 237, 256, 211, 168, 666, 669, 564, 630, 565, 495]</t>
  </si>
  <si>
    <t xml:space="preserve">  route (full edges): 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44), (44, 638), (638, 321), (321, 300), (300, 574), (574, 320), (320, 647), (647, 49), (49, 285), (285, 50), (50, 51), (51, 52), (52, 513), (513, 542), (542, 543), (543, 602), (602, 546), (546, 596), (596, 509), (509, 322), (322, 289), (289, 819), (819, 820), (820, 819), (819, 289), (289, 295), (295, 311), (311, 293), (293, 544), (544, 543), (543, 542), (542, 513), (513, 52), (52, 51), (51, 50), (50, 285), (285,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60), (60, 604), (604, 607), (607, 61), (61, 62), (62, 578), (578, 577), (577, 576), (576, 123), (123, 120), (120, 162), (162, 155), (155, 237), (237, 256), (256, 211), (211, 168), (168, 666), (666, 669), (669, 564), (564, 630), (630, 565), (565, 495)]</t>
  </si>
  <si>
    <t xml:space="preserve">  veh 2: end_loc=495, cap_left=0, delivered=2, distance=14409.12</t>
  </si>
  <si>
    <t xml:space="preserve">  route (full nodes): [495, 565, 630, 564, 669, 666, 626, 195, 247, 616, 482, 490, 203, 236, 243, 185, 732, 34, 731, 575, 33, 41, 249, 40, 158, 141, 197, 643, 737, 157, 642, 635, 636, 302, 53, 637, 43, 44, 638, 321, 300, 574, 320, 647, 49, 285, 50, 51, 52, 513, 542, 543, 602, 546, 596, 509, 322, 289, 819, 820, 819, 289, 295, 283, 293, 544, 543, 542, 513, 52, 51, 50, 285, 49, 517, 48, 44, 638, 321, 53, 302, 636, 14, 15, 157, 737, 643, 197, 141, 207, 175, 178, 183, 189, 177, 254, 205, 150, 127, 172, 472, 126, 84, 437, 470, 83, 483, 464, 60, 604, 605, 66, 64, 615, 480, 608, 609, 401, 400, 392, 397, 392, 400, 401, 398, 395, 579, 398, 395, 480, 615, 614, 63, 578, 577, 576, 140, 380, 461, 462, 377, 130, 521, 522, 115, 756, 502, 112, 755, 477, 754, 108, 100, 107, 99, 103, 98, 748, 96, 747, 748, 98, 103, 99, 107, 100, 108, 754, 477, 755, 112, 502, 756, 115, 522, 521, 130, 377, 209, 137, 168, 666, 669, 564, 630, 565, 495]</t>
  </si>
  <si>
    <t xml:space="preserve">  route (full edges): 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44), (44, 638), (638, 321), (321, 300), (300, 574), (574, 320), (320, 647), (647, 49), (49, 285), (285, 50), (50, 51), (51, 52), (52, 513), (513, 542), (542, 543), (543, 602), (602, 546), (546, 596), (596, 509), (509, 322), (322, 289), (289, 819), (819, 820), (820, 819), (819, 289), (289, 295), (295, 283), (283, 293), (293, 544), (544, 543), (543, 542), (542, 513), (513, 52), (52, 51), (51, 50), (50, 285), (285,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60), (60, 604), (604, 605), (605, 66), (66, 64), (64, 615), (615, 480), (480, 608), (608, 609), (609, 401), (401, 400), (400, 392), (392, 397), (397, 392), (392, 400), (400, 401), (401, 398), (398, 395), (395, 579), (579, 398), (398, 395), (395, 480), (480, 615), (615, 614), (614,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669), (669, 564), (564, 630), (630, 565), (565, 495)]</t>
  </si>
  <si>
    <t xml:space="preserve">  seg#1 label=EQ#1 (initial) | end_step=0 | dist=0.00 | cum=0.00 | delivered=0 | delivered_at=[] | path=[495] | edges=[]</t>
  </si>
  <si>
    <t xml:space="preserve">  seg#2 label=EQ#1 (r≈0.430) | end_step=150 | dist=3126.39 | cum=3126.39 | delivered=2 | delivered_at=[(43, 1), (575, 1)] | path=[495, 565, 630, 564, 669, 666, 626, 195, 247, 616, 482, 490, 203, 236, 243, 185, 732, 34, 731, 575, 33, 41, 249, 40, 158, 141, 197, 643, 737, 157, 642, 635, 636, 302, 53, 637, 43, 436, 651, 648, 339, 649, 6, 5, 4, 362, 376, 3, 478, 350, 368] | edges=[(495,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436), (436, 651), (651, 648), (648, 339), (339, 649), (649, 6), (6, 5), (5, 4), (4, 362), (362, 376), (376, 3), (3, 478), (478, 350), (350, 368)]</t>
  </si>
  <si>
    <t xml:space="preserve">  seg#3 label=EQ#2 (r≈0.455) | end_step=309 | dist=1481.90 | cum=4608.29 | delivered=0 | delivered_at=[] | path=[368, 374, 326, 343, 313, 503, 349, 346, 366, 631, 373, 500, 498, 319, 305, 669, 564, 630, 565, 495] | edges=[(368, 374), (374, 326), (326, 343), (343, 313), (313, 503), (503, 349), (349, 346), (346, 366), (366, 631), (631, 373), (373, 500), (500, 498), (498, 319), (319, 305), (305, 669), (669, 564), (564, 630), (630, 565), (565, 495)]</t>
  </si>
  <si>
    <t xml:space="preserve">  seg#4 label=FINAL | end_step=384 | dist=0.00 | cum=4608.29 | delivered=0 | delivered_at=[] | path=[495] | edges=[]</t>
  </si>
  <si>
    <t xml:space="preserve">  seg#2 label=EQ#1 (r≈0.430) | end_step=150 | dist=3245.45 | cum=3245.45 | delivered=0 | delivered_at=[] | path=[495, 565, 630, 564, 669, 666, 626, 195, 247, 616, 482, 490, 203, 236, 243, 185, 732, 34, 731, 575, 33, 41, 249, 40, 158, 141, 197, 643, 737, 157, 642, 635, 636, 302, 53, 637, 43, 44, 638, 321, 300, 574, 320, 647, 49, 285, 50, 51, 52, 513, 542] | edges=[(495, 565), (565, 630), (630, 564), (564, 669), (669, 666), (666, 626), (626, 195), (195, 247), (247, 616), (616, 482), (482, 490), (490, 203), (203, 236), (236, 243), (243, 185), (185, 732), (732, 34), (34, 731), (731, 575), (575, 33), (33, 41), (41, 249), (249, 40), (40, 158), (158, 141), (141, 197), (197, 643), (643, 737), (737, 157), (157, 642), (642, 635), (635, 636), (636, 302), (302, 53), (53, 637), (637, 43), (43, 44), (44, 638), (638, 321), (321, 300), (300, 574), (574, 320), (320, 647), (647, 49), (49, 285), (285, 50), (50, 51), (51, 52), (52, 513), (513, 542)]</t>
  </si>
  <si>
    <t xml:space="preserve">  seg#3 label=EQ#2 (r≈0.455) | end_step=309 | dist=4600.05 | cum=7845.50 | delivered=2 | delivered_at=[(464, 1), (819, 1)] | path=[542, 543, 602, 546, 596, 509, 322, 289, 819, 820, 819, 289, 295, 311, 293, 544, 543, 542, 513, 52, 51, 50, 285, 49, 517, 48, 44, 638, 321, 53, 302, 636, 14, 15, 157, 737, 643, 197, 141, 207, 175, 178, 183, 189, 177, 254, 205, 150, 127, 172, 472, 126, 84, 437, 470, 83, 483, 464, 60, 604, 607, 61, 62, 578, 577, 576, 123, 120, 162, 155, 237] | edges=[(542, 543), (543, 602), (602, 546), (546, 596), (596, 509), (509, 322), (322, 289), (289, 819), (819, 820), (820, 819), (819, 289), (289, 295), (295, 311), (311, 293), (293, 544), (544, 543), (543, 542), (542, 513), (513, 52), (52, 51), (51, 50), (50, 285), (285,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60), (60, 604), (604, 607), (607, 61), (61, 62), (62, 578), (578, 577), (577, 576), (576, 123), (123, 120), (120, 162), (162, 155), (155, 237)]</t>
  </si>
  <si>
    <t xml:space="preserve">  seg#4 label=FINAL | end_step=384 | dist=535.29 | cum=8380.78 | delivered=0 | delivered_at=[] | path=[237, 256, 211, 168, 666, 669, 564, 630, 565, 495] | edges=[(237, 256), (256, 211), (211, 168), (168, 666), (666, 669), (669, 564), (564, 630), (630, 565), (565, 495)]</t>
  </si>
  <si>
    <t xml:space="preserve">  seg#3 label=EQ#2 (r≈0.455) | end_step=309 | dist=4287.95 | cum=7533.40 | delivered=1 | delivered_at=[(392, 1)] | path=[542, 543, 602, 546, 596, 509, 322, 289, 819, 820, 819, 289, 295, 283, 293, 544, 543, 542, 513, 52, 51, 50, 285, 49, 517, 48, 44, 638, 321, 53, 302, 636, 14, 15, 157, 737, 643, 197, 141, 207, 175, 178, 183, 189, 177, 254, 205, 150, 127, 172, 472, 126, 84, 437, 470, 83, 483, 464, 60, 604, 605, 66, 64, 615, 480, 608, 609, 401, 400, 392, 397] | edges=[(542, 543), (543, 602), (602, 546), (546, 596), (596, 509), (509, 322), (322, 289), (289, 819), (819, 820), (820, 819), (819, 289), (289, 295), (295, 283), (283, 293), (293, 544), (544, 543), (543, 542), (542, 513), (513, 52), (52, 51), (51, 50), (50, 285), (285, 49), (49, 517), (517, 48), (48, 44), (44, 638), (638, 321), (321, 53), (53, 302), (302, 636), (636, 14), (14, 15), (15, 157), (157, 737), (737, 643), (643, 197), (197, 141), (141, 207), (207, 175), (175, 178), (178, 183), (183, 189), (189, 177), (177, 254), (254, 205), (205, 150), (150, 127), (127, 172), (172, 472), (472, 126), (126, 84), (84, 437), (437, 470), (470, 83), (83, 483), (483, 464), (464, 60), (60, 604), (604, 605), (605, 66), (66, 64), (64, 615), (615, 480), (480, 608), (608, 609), (609, 401), (401, 400), (400, 392), (392, 397)]</t>
  </si>
  <si>
    <t xml:space="preserve">  seg#4 label=FINAL | end_step=384 | dist=6875.72 | cum=14409.12 | delivered=1 | delivered_at=[(748, 1)] | path=[397, 392, 400, 401, 398, 395, 579, 398, 395, 480, 615, 614, 63, 578, 577, 576, 140, 380, 461, 462, 377, 130, 521, 522, 115, 756, 502, 112, 755, 477, 754, 108, 100, 107, 99, 103, 98, 748, 96, 747, 748, 98, 103, 99, 107, 100, 108, 754, 477, 755, 112, 502, 756, 115, 522, 521, 130, 377, 209, 137, 168, 666, 669, 564, 630, 565, 495] | edges=[(397, 392), (392, 400), (400, 401), (401, 398), (398, 395), (395, 579), (579, 398), (398, 395), (395, 480), (480, 615), (615, 614), (614, 63), (63, 578), (578, 577), (577, 576), (576, 140), (140, 380), (380, 461), (461, 462), (462, 377), (377, 130), (130, 521), (521, 522), (522, 115), (115, 756), (756, 502), (502, 112), (112, 755), (755, 477), (477, 754), (754, 108), (108, 100), (100, 107), (107, 99), (99, 103), (103, 98), (98, 748), (748, 96), (96, 747), (747, 748), (748, 98), (98, 103), (103, 99), (99, 107), (107, 100), (100, 108), (108, 754), (754, 477), (477, 755), (755, 112), (112, 502), (502, 756), (756, 115), (115, 522), (522, 521), (521, 130), (130, 377), (377, 209), (209, 137), (137, 168), (168, 666), (666, 669), (669, 564), (564, 630), (630, 565), (565, 495)]</t>
  </si>
  <si>
    <t>[RISK] critical degrees after protection: {495: 3, 43: 3, 392: 2, 464: 3, 575: 2, 748: 3, 819: 2}</t>
  </si>
  <si>
    <t>[464, 694, 748]</t>
  </si>
  <si>
    <t>[SCENARIO 7] Depot=220</t>
  </si>
  <si>
    <t>[58, 517, 607, 623, 748]</t>
  </si>
  <si>
    <t>[SCENARIO 8] Depot=642</t>
  </si>
  <si>
    <t xml:space="preserve">[43, 392, 464, 575, 748, 819] </t>
  </si>
  <si>
    <t>[SCENARIO 9] Depot=495</t>
  </si>
  <si>
    <t>[SCENARIO 2] Depot=546</t>
  </si>
  <si>
    <t>[SCENARIO 2] demands=[316, 412, 748] | total=3 | capacities=[1, 1, 1]</t>
  </si>
  <si>
    <t>[RISK@try0] r=0.4330 | closed_before=272 | closed_after=256 | reopened=16 | open_ratio=78.3%</t>
  </si>
  <si>
    <t>[RISK@try1] r=0.4786 | closed_before=90 | closed_after=90 | reopened=0 | open_ratio=92.4%</t>
  </si>
  <si>
    <t>[Graph change] nonzero edges changed: 180 (r≈0.479). Recompute SP ...</t>
  </si>
  <si>
    <t>Kapanan yol adedi (undirected): 90 | Açıklık oranı: 92.4%</t>
  </si>
  <si>
    <t>Kapanan yollar (i&lt;j): [(3, 555), (7, 354), (8, 323), (10, 42), (10, 557), (19, 41), (24, 721), (25, 217), (39, 133), (48, 638), (52, 548), (54, 55), (59, 384), (67, 79), (68, 69), (69, 215), (78, 816), (80, 428), (84, 122), (87, 676), (90, 634), (92, 683), (93, 603), (93, 728), (108, 477), (114, 433), (118, 235), (119, 142), (119, 201), (120, 481), (131, 150), (132, 486), (147, 710), (153, 154), (166, 171), (179, 193), (180, 264), (192, 248), (201, 726), (223, 261), (226, 487), (234, 250), (251, 264), (266, 512), (270, 278), (272, 304), (274, 300), (288, 529), (294, 514), (311, 322), (317, 528), (325, 540), (342, 367), (345, 364), (362, 375), (363, 371), (386, 571), (392, 400), (411, 427), (413, 416), (414, 431), (416, 427), (417, 419), (441, 444), (466, 613), (475, 613), (479, 561), (494, 620), (495, 565), (507, 508), (526, 671), (528, 529), (534, 535), (554, 556), (555, 632), (564, 630), (582, 735), (590, 591), (594, 595), (600, 601), (614, 615), (620, 621), (639, 641), (712, 713), (753, 760), (776, 778), (786, 797), (796, 797), (799, 800), (803, 804)]</t>
  </si>
  <si>
    <t>- Target 316: reachable ✓  distance=1800.68 | path: [546, 602, 594, 290, 294, 587, 307, 286, 588, 287, 309, 273, 599, 539, 9, 323, 329, 271, 335, 277, 743, 298, 744, 324, 357, 326, 343, 313, 503, 349, 653, 364, 316]</t>
  </si>
  <si>
    <t>- Target 748: reachable ✓  distance=4881.08 | path: [546, 602, 543, 542, 513, 52, 51, 50, 285, 49, 517, 48, 44, 638, 321, 53, 302, 636, 14, 15, 16, 558, 559, 560, 33, 575, 731, 34, 732, 185, 243, 236, 203, 490, 482, 616, 247, 195, 626, 666, 168, 137, 209, 377, 130, 521, 522, 115, 756, 502, 112, 755, 477, 754, 108, 100, 107, 99, 103, 98, 748]</t>
  </si>
  <si>
    <t>- Target 412: reachable ✓  distance=4822.59 | path: [546, 602, 543, 542, 513, 52, 51, 50, 285, 49, 517, 48, 44, 638, 321, 53, 302, 636, 14, 15, 16, 558, 559, 560, 33, 575, 731, 34, 732, 185, 243, 236, 203, 490, 482, 616, 247, 195, 626, 666, 168, 137, 209, 377, 130, 521, 522, 115, 756, 502, 112, 655, 113, 424, 416, 410, 412]</t>
  </si>
  <si>
    <t>[veh=0] start=546 -&gt; end=546 | nodes=[546] | edges=[] | seg_dist=0.00 | cum_dist=0.00 | delivered_qty=0 | delivered_at=[]</t>
  </si>
  <si>
    <t>[veh=1] start=546 -&gt; end=546 | nodes=[546] | edges=[] | seg_dist=0.00 | cum_dist=0.00 | delivered_qty=0 | delivered_at=[]</t>
  </si>
  <si>
    <t>[veh=2] start=546 -&gt; end=546 | nodes=[546] | edges=[] | seg_dist=0.00 | cum_dist=0.00 | delivered_qty=0 | delivered_at=[]</t>
  </si>
  <si>
    <t>step=50 | hedef_açıklık≈88.0% | r≈0.430 | açık_oranı=87.3% | değişen_hücre=120</t>
  </si>
  <si>
    <t>Kapanan yollar (i&lt;j): [(13, 16), (24, 640), (30, 695), (32, 550), (43, 44), (53, 637), (71, 484), (73, 76), (90, 603), (93, 319), (94, 746), (94, 766), (95, 725), (102, 104), (105, 106), (115, 419), (116, 625), (118, 265), (120, 162), (136, 170), (137, 170), (143, 177), (145, 148), (167, 675), (172, 186), (178, 206), (194, 692), (221, 232), (228, 238), (245, 260), (249, 665), (260, 676), (283, 308), (284, 318), (296, 320), (306, 587), (316, 364), (320, 647), (327, 351), (334, 501), (357, 361), (387, 400), (387, 818), (413, 424), (433, 434), (447, 456), (450, 451), (467, 473), (470, 471), (479, 704), (509, 511), (534, 537), (563, 566), (635, 636), (656, 661), (657, 661), (713, 715), (768, 770), (779, 785), (783, 795)]</t>
  </si>
  <si>
    <t>[veh=0] start=546 -&gt; end=323 | nodes=[546, 597, 310, 306, 290, 294, 587, 307, 286, 588, 287, 309, 273, 599, 539, 9, 323, 329, 271, 335, 277, 743, 298, 744, 324, 357, 326, 343, 313, 503, 349, 653, 364, 316, 364, 653, 349, 503, 313, 343, 326, 357, 324, 744, 298, 743, 277, 335, 271, 329, 323] | edges=[(546,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503), (503, 313), (313, 343), (343, 326), (326, 357), (357, 324), (324, 744), (744, 298), (298, 743), (743, 277), (277, 335), (335, 271), (271, 329), (329, 323)] | seg_dist=3130.57 | cum_dist=3130.57 | delivered_qty=1 | delivered_at=[(316, 1)]</t>
  </si>
  <si>
    <t>[veh=1] start=546 -&gt; end=666 | nodes=[546, 597, 310, 306, 290, 294, 587, 307, 286, 588, 287, 309, 273, 599, 539, 9, 323, 329, 271, 335, 277, 743, 298, 744, 324, 357, 326, 343, 313, 503, 349, 653, 364, 316, 364, 653, 349, 346, 345, 627, 365, 280, 348, 344, 628, 279, 562, 499, 305, 669, 666] | edges=[(546,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346), (346, 345), (345, 627), (627, 365), (365, 280), (280, 348), (348, 344), (344, 628), (628, 279), (279, 562), (562, 499), (499, 305), (305, 669), (669, 666)] | seg_dist=3781.29 | cum_dist=3781.29 | delivered_qty=0 | delivered_at=[]</t>
  </si>
  <si>
    <t>[veh=2] start=546 -&gt; end=666 | nodes=[546, 597, 310, 306, 290, 294, 587, 307, 286, 588, 287, 309, 273, 599, 539, 9, 323, 329, 271, 335, 277, 743, 298, 744, 324, 357, 326, 343, 313, 503, 349, 653, 364, 316, 364, 653, 349, 346, 345, 627, 365, 280, 348, 344, 628, 279, 562, 499, 305, 669, 666] | edges=[(546,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346), (346, 345), (345, 627), (627, 365), (365, 280), (280, 348), (348, 344), (344, 628), (628, 279), (279, 562), (562, 499), (499, 305), (305, 669), (669, 666)] | seg_dist=3781.29 | cum_dist=3781.29 | delivered_qty=0 | delivered_at=[]</t>
  </si>
  <si>
    <t>[TEST] veh=0 terminal reason=empty_home, loc=546, steps_since_delivery=96</t>
  </si>
  <si>
    <t>step=120 | hedef_açıklık≈92.0% | r≈0.455 | açık_oranı=84.3% | değişen_hücre=70</t>
  </si>
  <si>
    <t>Bu olayda kapanan yol adedi (undirected): 35</t>
  </si>
  <si>
    <t>Kapanan yollar (i&lt;j): [(0, 664), (5, 556), (31, 32), (33, 575), (46, 47), (76, 235), (82, 390), (83, 483), (102, 812), (110, 618), (122, 198), (125, 192), (128, 264), (130, 521), (179, 220), (188, 220), (210, 236), (271, 329), (279, 628), (296, 734), (341, 344), (352, 361), (381, 386), (382, 383), (400, 401), (402, 579), (442, 448), (445, 450), (573, 695), (580, 581), (585, 586), (635, 642), (672, 728), (767, 768), (788, 798)]</t>
  </si>
  <si>
    <t>[veh=0] start=323 -&gt; end=546 | nodes=[323, 9, 539, 599, 273, 309, 287, 588, 286, 307, 587, 294, 290, 594, 602, 546] | edges=[(323, 9), (9, 539), (539, 599), (599, 273), (273, 309), (309, 287), (287, 588), (588, 286), (286, 307), (307, 587), (587, 294), (294, 290), (290, 594), (594, 602), (602, 546)] | seg_dist=678.54 | cum_dist=3809.10 | delivered_qty=0 | delivered_at=[]</t>
  </si>
  <si>
    <t>[veh=1] start=666 -&gt; end=53 | nodes=[666, 168, 137, 209, 377, 130, 521, 522, 115, 756, 502, 112, 655, 113, 424, 416, 410, 412, 414, 679, 751, 750, 611, 812, 102, 814, 105, 103, 99, 107, 100, 108, 754, 477, 755, 112, 502, 756, 115, 522, 521, 130, 377, 209, 137, 168, 666, 626, 195, 247, 616, 482, 490, 203, 236, 243, 185, 732, 34, 731, 575, 33, 560, 559, 558, 16, 15, 14, 636, 302, 53] | edges=[(666, 168), (168, 137), (137, 209), (209, 377), (377, 130), (130, 521), (521, 522), (522, 115), (115, 756), (756, 502), (502, 112), (112, 655), (655, 113), (113, 424), (424, 416), (416, 410), (410, 412), (412, 414), (414, 679), (679, 751), (751, 750), (750, 611), (611, 812), (812, 102), (102, 814), (814, 105), (105,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243), (243, 185), (185, 732), (732, 34), (34, 731), (731, 575), (575, 33), (33, 560), (560, 559), (559, 558), (558, 16), (16, 15), (15, 14), (14, 636), (636, 302), (302, 53)] | seg_dist=7422.87 | cum_dist=11204.16 | delivered_qty=1 | delivered_at=[(412, 1)]</t>
  </si>
  <si>
    <t>[veh=2] start=666 -&gt; end=558 | nodes=[666, 168, 137, 209, 377, 130, 521, 522, 115, 756, 502, 112, 655, 113, 424, 416, 410, 406, 413, 406, 404, 406, 410, 412, 414, 679, 751, 750, 611, 812, 747, 748, 98, 103, 99, 107, 100, 108, 754, 477, 755, 112, 502, 756, 115, 522, 521, 130, 377, 209, 137, 168, 666, 626, 195, 247, 616, 482, 490, 203, 236, 243, 185, 732, 34, 731, 575, 33, 560, 559, 558] | edges=[(666, 168), (168, 137), (137, 209), (209, 377), (377, 130), (130, 521), (521, 522), (522, 115), (115, 756), (756, 502), (502, 112), (112, 655), (655, 113), (113, 424), (424, 416), (416, 410), (410, 406), (406, 413), (413, 406), (406, 404), (404, 406), (406, 410), (410, 412), (412, 414), (414, 679), (679, 751), (751, 750), (750, 611), (611, 812), (812,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243), (243, 185), (185, 732), (732, 34), (34, 731), (731, 575), (575, 33), (33, 560), (560, 559), (559, 558)] | seg_dist=7479.20 | cum_dist=11260.49 | delivered_qty=1 | delivered_at=[(748, 1)]</t>
  </si>
  <si>
    <t>[TEST] veh=1 terminal reason=vehicle_home, loc=546, steps_since_delivery=107</t>
  </si>
  <si>
    <t>[TEST] veh=2 terminal reason=solved, loc=546, steps_since_delivery=114</t>
  </si>
  <si>
    <t>[veh=0] start=546 -&gt; end=546 | nodes=[546] | edges=[] | seg_dist=0.00 | cum_dist=3809.10 | delivered_qty=0 | delivered_at=[]</t>
  </si>
  <si>
    <t>[veh=1] start=53 -&gt; end=546 | nodes=[53, 321, 638, 44, 48, 517, 49, 285, 50, 51, 52, 513, 542, 543, 602, 546] | edges=[(53, 321), (321, 638), (638, 44), (44, 48), (48, 517), (517, 49), (49, 285), (285, 50), (50, 51), (51, 52), (52, 513), (513, 542), (542, 543), (543, 602), (602, 546)] | seg_dist=564.48 | cum_dist=11768.64 | delivered_qty=0 | delivered_at=[]</t>
  </si>
  <si>
    <t>[veh=2] start=558 -&gt; end=546 | nodes=[558, 16, 15, 14, 636, 302, 53, 321, 638, 44, 48, 517, 49, 285, 50, 51, 52, 513, 542, 543, 602, 546] | edges=[(558, 16), (16, 15), (15, 14), (14, 636), (636, 302), (302, 53), (53, 321), (321, 638), (638, 44), (44, 48), (48, 517), (517, 49), (49, 285), (285, 50), (50, 51), (51, 52), (52, 513), (513, 542), (542, 543), (543, 602), (602, 546)] | seg_dist=1093.64 | cum_dist=12354.13 | delivered_qty=0 | delivered_at=[]</t>
  </si>
  <si>
    <t>Total shaped reward: 183.682 | deliveries=3 | backtracks=5</t>
  </si>
  <si>
    <t xml:space="preserve">  veh 0: end_loc=546, cap_left=0, delivered=1, distance=3809.10</t>
  </si>
  <si>
    <t xml:space="preserve">  route (full nodes): [546, 597, 310, 306, 290, 294, 587, 307, 286, 588, 287, 309, 273, 599, 539, 9, 323, 329, 271, 335, 277, 743, 298, 744, 324, 357, 326, 343, 313, 503, 349, 653, 364, 316, 364, 653, 349, 503, 313, 343, 326, 357, 324, 744, 298, 743, 277, 335, 271, 329, 323, 9, 539, 599, 273, 309, 287, 588, 286, 307, 587, 294, 290, 594, 602, 546]</t>
  </si>
  <si>
    <t xml:space="preserve">  route (full edges): 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503), (503, 313), (313, 343), (343, 326), (326, 357), (357, 324), (324, 744), (744, 298), (298, 743), (743, 277), (277, 335), (335, 271), (271, 329), (329, 323), (323, 9), (9, 539), (539, 599), (599, 273), (273, 309), (309, 287), (287, 588), (588, 286), (286, 307), (307, 587), (587, 294), (294, 290), (290, 594), (594, 602), (602, 546)]  </t>
  </si>
  <si>
    <t xml:space="preserve">  veh 1: end_loc=546, cap_left=0, delivered=1, distance=11768.64</t>
  </si>
  <si>
    <t xml:space="preserve">  route (full nodes): [546, 597, 310, 306, 290, 294, 587, 307, 286, 588, 287, 309, 273, 599, 539, 9, 323, 329, 271, 335, 277, 743, 298, 744, 324, 357, 326, 343, 313, 503, 349, 653, 364, 316, 364, 653, 349, 346, 345, 627, 365, 280, 348, 344, 628, 279, 562, 499, 305, 669, 666, 168, 137, 209, 377, 130, 521, 522, 115, 756, 502, 112, 655, 113, 424, 416, 410, 412, 414, 679, 751, 750, 611, 812, 102, 814, 105, 103, 99, 107, 100, 108, 754, 477, 755, 112, 502, 756, 115, 522, 521, 130, 377, 209, 137, 168, 666, 626, 195, 247, 616, 482, 490, 203, 236, 243, 185, 732, 34, 731, 575, 33, 560, 559, 558, 16, 15, 14, 636, 302, 53, 321, 638, 44, 48, 517, 49, 285, 50, 51, 52, 513, 542, 543, 602, 546]</t>
  </si>
  <si>
    <t xml:space="preserve">  route (full edges): 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346), (346, 345), (345, 627), (627, 365), (365, 280), (280, 348), (348, 344), (344, 628), (628, 279), (279, 562), (562, 499), (499, 305), (305, 669), (669, 666), (666, 168), (168, 137), (137, 209), (209, 377), (377, 130), (130, 521), (521, 522), (522, 115), (115, 756), (756, 502), (502, 112), (112, 655), (655, 113), (113, 424), (424, 416), (416, 410), (410, 412), (412, 414), (414, 679), (679, 751), (751, 750), (750, 611), (611, 812), (812, 102), (102, 814), (814, 105), (105,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243), (243, 185), (185, 732), (732, 34), (34, 731), (731, 575), (575, 33), (33, 560), (560, 559), (559, 558), (558, 16), (16, 15), (15, 14), (14, 636), (636, 302), (302, 53), (53, 321), (321, 638), (638, 44), (44, 48), (48, 517), (517, 49), (49, 285), (285, 50), (50, 51), (51, 52), (52, 513), (513, 542), (542, 543), (543, 602), (602, 546)]</t>
  </si>
  <si>
    <t xml:space="preserve">  veh 2: end_loc=546, cap_left=0, delivered=1, distance=12354.13</t>
  </si>
  <si>
    <t xml:space="preserve">  route (full nodes): [546, 597, 310, 306, 290, 294, 587, 307, 286, 588, 287, 309, 273, 599, 539, 9, 323, 329, 271, 335, 277, 743, 298, 744, 324, 357, 326, 343, 313, 503, 349, 653, 364, 316, 364, 653, 349, 346, 345, 627, 365, 280, 348, 344, 628, 279, 562, 499, 305, 669, 666, 168, 137, 209, 377, 130, 521, 522, 115, 756, 502, 112, 655, 113, 424, 416, 410, 406, 413, 406, 404, 406, 410, 412, 414, 679, 751, 750, 611, 812, 747, 748, 98, 103, 99, 107, 100, 108, 754, 477, 755, 112, 502, 756, 115, 522, 521, 130, 377, 209, 137, 168, 666, 626, 195, 247, 616, 482, 490, 203, 236, 243, 185, 732, 34, 731, 575, 33, 560, 559, 558, 16, 15, 14, 636, 302, 53, 321, 638, 44, 48, 517, 49, 285, 50, 51, 52, 513, 542, 543, 602, 546]</t>
  </si>
  <si>
    <t xml:space="preserve">  route (full edges): 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346), (346, 345), (345, 627), (627, 365), (365, 280), (280, 348), (348, 344), (344, 628), (628, 279), (279, 562), (562, 499), (499, 305), (305, 669), (669, 666), (666, 168), (168, 137), (137, 209), (209, 377), (377, 130), (130, 521), (521, 522), (522, 115), (115, 756), (756, 502), (502, 112), (112, 655), (655, 113), (113, 424), (424, 416), (416, 410), (410, 406), (406, 413), (413, 406), (406, 404), (404, 406), (406, 410), (410, 412), (412, 414), (414, 679), (679, 751), (751, 750), (750, 611), (611, 812), (812,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243), (243, 185), (185, 732), (732, 34), (34, 731), (731, 575), (575, 33), (33, 560), (560, 559), (559, 558), (558, 16), (16, 15), (15, 14), (14, 636), (636, 302), (302, 53), (53, 321), (321, 638), (638, 44), (44, 48), (48, 517), (517, 49), (49, 285), (285, 50), (50, 51), (51, 52), (52, 513), (513, 542), (542, 543), (543, 602), (602, 546)]</t>
  </si>
  <si>
    <t xml:space="preserve">  seg#1 label=EQ#1 (initial) | end_step=0 | dist=0.00 | cum=0.00 | delivered=0 | delivered_at=[] | path=[546] | edges=[]</t>
  </si>
  <si>
    <t xml:space="preserve">  seg#2 label=EQ#1 (r≈0.430) | end_step=150 | dist=3130.57 | cum=3130.57 | delivered=1 | delivered_at=[(316, 1)] | path=[546, 597, 310, 306, 290, 294, 587, 307, 286, 588, 287, 309, 273, 599, 539, 9, 323, 329, 271, 335, 277, 743, 298, 744, 324, 357, 326, 343, 313, 503, 349, 653, 364, 316, 364, 653, 349, 503, 313, 343, 326, 357, 324, 744, 298, 743, 277, 335, 271, 329, 323] | edges=[(546,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503), (503, 313), (313, 343), (343, 326), (326, 357), (357, 324), (324, 744), (744, 298), (298, 743), (743, 277), (277, 335), (335, 271), (271, 329), (329, 323)]</t>
  </si>
  <si>
    <t xml:space="preserve">  seg#3 label=EQ#2 (r≈0.455) | end_step=305 | dist=678.54 | cum=3809.10 | delivered=0 | delivered_at=[] | path=[323, 9, 539, 599, 273, 309, 287, 588, 286, 307, 587, 294, 290, 594, 602, 546] | edges=[(323, 9), (9, 539), (539, 599), (599, 273), (273, 309), (309, 287), (287, 588), (588, 286), (286, 307), (307, 587), (587, 294), (294, 290), (290, 594), (594, 602), (602, 546)]</t>
  </si>
  <si>
    <t xml:space="preserve">  seg#4 label=FINAL | end_step=341 | dist=0.00 | cum=3809.10 | delivered=0 | delivered_at=[] | path=[546] | edges=[]</t>
  </si>
  <si>
    <t xml:space="preserve">  seg#2 label=EQ#1 (r≈0.430) | end_step=150 | dist=3781.29 | cum=3781.29 | delivered=0 | delivered_at=[] | path=[546, 597, 310, 306, 290, 294, 587, 307, 286, 588, 287, 309, 273, 599, 539, 9, 323, 329, 271, 335, 277, 743, 298, 744, 324, 357, 326, 343, 313, 503, 349, 653, 364, 316, 364, 653, 349, 346, 345, 627, 365, 280, 348, 344, 628, 279, 562, 499, 305, 669, 666] | edges=[(546, 597), (597, 310), (310, 306), (306, 290), (290, 294), (294, 587), (587, 307), (307, 286), (286, 588), (588, 287), (287, 309), (309, 273), (273, 599), (599, 539), (539, 9), (9, 323), (323, 329), (329, 271), (271, 335), (335, 277), (277, 743), (743, 298), (298, 744), (744, 324), (324, 357), (357, 326), (326, 343), (343, 313), (313, 503), (503, 349), (349, 653), (653, 364), (364, 316), (316, 364), (364, 653), (653, 349), (349, 346), (346, 345), (345, 627), (627, 365), (365, 280), (280, 348), (348, 344), (344, 628), (628, 279), (279, 562), (562, 499), (499, 305), (305, 669), (669, 666)]</t>
  </si>
  <si>
    <t xml:space="preserve">  seg#3 label=EQ#2 (r≈0.455) | end_step=305 | dist=7422.87 | cum=11204.16 | delivered=1 | delivered_at=[(412, 1)] | path=[666, 168, 137, 209, 377, 130, 521, 522, 115, 756, 502, 112, 655, 113, 424, 416, 410, 412, 414, 679, 751, 750, 611, 812, 102, 814, 105, 103, 99, 107, 100, 108, 754, 477, 755, 112, 502, 756, 115, 522, 521, 130, 377, 209, 137, 168, 666, 626, 195, 247, 616, 482, 490, 203, 236, 243, 185, 732, 34, 731, 575, 33, 560, 559, 558, 16, 15, 14, 636, 302, 53] | edges=[(666, 168), (168, 137), (137, 209), (209, 377), (377, 130), (130, 521), (521, 522), (522, 115), (115, 756), (756, 502), (502, 112), (112, 655), (655, 113), (113, 424), (424, 416), (416, 410), (410, 412), (412, 414), (414, 679), (679, 751), (751, 750), (750, 611), (611, 812), (812, 102), (102, 814), (814, 105), (105,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243), (243, 185), (185, 732), (732, 34), (34, 731), (731, 575), (575, 33), (33, 560), (560, 559), (559, 558), (558, 16), (16, 15), (15, 14), (14, 636), (636, 302), (302, 53)]</t>
  </si>
  <si>
    <t xml:space="preserve">  seg#4 label=FINAL | end_step=341 | dist=564.48 | cum=11768.64 | delivered=0 | delivered_at=[] | path=[53, 321, 638, 44, 48, 517, 49, 285, 50, 51, 52, 513, 542, 543, 602, 546] | edges=[(53, 321), (321, 638), (638, 44), (44, 48), (48, 517), (517, 49), (49, 285), (285, 50), (50, 51), (51, 52), (52, 513), (513, 542), (542, 543), (543, 602), (602, 546)]</t>
  </si>
  <si>
    <t xml:space="preserve">  seg#3 label=EQ#2 (r≈0.455) | end_step=305 | dist=7479.20 | cum=11260.49 | delivered=1 | delivered_at=[(748, 1)] | path=[666, 168, 137, 209, 377, 130, 521, 522, 115, 756, 502, 112, 655, 113, 424, 416, 410, 406, 413, 406, 404, 406, 410, 412, 414, 679, 751, 750, 611, 812, 747, 748, 98, 103, 99, 107, 100, 108, 754, 477, 755, 112, 502, 756, 115, 522, 521, 130, 377, 209, 137, 168, 666, 626, 195, 247, 616, 482, 490, 203, 236, 243, 185, 732, 34, 731, 575, 33, 560, 559, 558] | edges=[(666, 168), (168, 137), (137, 209), (209, 377), (377, 130), (130, 521), (521, 522), (522, 115), (115, 756), (756, 502), (502, 112), (112, 655), (655, 113), (113, 424), (424, 416), (416, 410), (410, 406), (406, 413), (413, 406), (406, 404), (404, 406), (406, 410), (410, 412), (412, 414), (414, 679), (679, 751), (751, 750), (750, 611), (611, 812), (812, 747), (747, 748), (748, 98), (98, 103), (103, 99), (99, 107), (107, 100), (100, 108), (108, 754), (754, 477), (477, 755), (755, 112), (112, 502), (502, 756), (756, 115), (115, 522), (522, 521), (521, 130), (130, 377), (377, 209), (209, 137), (137, 168), (168, 666), (666, 626), (626, 195), (195, 247), (247, 616), (616, 482), (482, 490), (490, 203), (203, 236), (236, 243), (243, 185), (185, 732), (732, 34), (34, 731), (731, 575), (575, 33), (33, 560), (560, 559), (559, 558)]</t>
  </si>
  <si>
    <t xml:space="preserve">  seg#4 label=FINAL | end_step=341 | dist=1093.64 | cum=12354.13 | delivered=0 | delivered_at=[] | path=[558, 16, 15, 14, 636, 302, 53, 321, 638, 44, 48, 517, 49, 285, 50, 51, 52, 513, 542, 543, 602, 546] | edges=[(558, 16), (16, 15), (15, 14), (14, 636), (636, 302), (302, 53), (53, 321), (321, 638), (638, 44), (44, 48), (48, 517), (517, 49), (49, 285), (285, 50), (50, 51), (51, 52), (52, 513), (513, 542), (542, 543), (543, 602), (602, 546)]</t>
  </si>
  <si>
    <t>[RISK] critical degrees after protection: {546: 3, 316: 0, 412: 3, 748: 3}</t>
  </si>
  <si>
    <t>[316, 412, 748]</t>
  </si>
  <si>
    <t>[SCENARIO 9] demands=[43, 392, 464, 575, 748, 819] | total=6 | capacities=[2, 2, 2]</t>
  </si>
  <si>
    <t>[10, 459, 607, 718, 748]</t>
  </si>
  <si>
    <t>[SCENARIO 1] demands=[10, 459, 607, 718, 748] | total=5 | capacities=[2, 2, 1]</t>
  </si>
  <si>
    <t>[RISK@try1] r=0.4643 | closed_before=155 | closed_after=155 | open_ratio=86.9%</t>
  </si>
  <si>
    <t>- Target 607: reachable ✓  distance=2345.06 | path: [502, 756, 115, 522, 521, 130, 377, 462, 461, 380, 140, 576, 577, 578, 62, 61, 607]</t>
  </si>
  <si>
    <t>- Target 748: reachable ✓  distance=580.59 | path: [502, 112, 755, 477, 754, 108, 100, 107, 99, 103, 98, 748]</t>
  </si>
  <si>
    <t>- Target 718: reachable ✓  distance=3896.33 | path: [502, 756, 115, 522, 521, 130, 377, 209, 137, 168, 666, 626, 195, 247, 616, 482, 490, 203, 208, 180, 210, 156, 240, 164, 38, 36, 158, 141, 197, 643, 224, 244, 135, 121, 21, 25, 708, 717, 718]</t>
  </si>
  <si>
    <t>- Target 459: reachable ✓  distance=3700.15 | path: [502, 756, 115, 522, 521, 130, 1, 549, 568, 667, 623, 315, 444, 451, 453, 454, 459]</t>
  </si>
  <si>
    <t>- Target 10: reachable ✓  distance=3762.09 | path: [502, 756, 115, 522, 521, 130, 377, 209, 137, 168, 666, 626, 195, 247, 616, 482, 490, 203, 236, 243, 185, 732, 34, 729, 730, 561, 2, 503, 313, 343, 326, 374, 368, 350, 478, 3, 376, 362, 4, 556, 555, 10]</t>
  </si>
  <si>
    <t>[TEST] veh=0 terminal reason=empty_home, loc=502, steps_since_delivery=38</t>
  </si>
  <si>
    <t>[TEST] veh=1 terminal reason=empty_home, loc=502, steps_since_delivery=42</t>
  </si>
  <si>
    <t>[TEST] veh=2 terminal reason=solved, loc=502, steps_since_delivery=14</t>
  </si>
  <si>
    <t>Total shaped reward: -119.982 | deliveries=5 | backtracks=2</t>
  </si>
  <si>
    <t xml:space="preserve">  veh 0: end_loc=502, cap_left=0, delivered=2, distance=10664.38</t>
  </si>
  <si>
    <t xml:space="preserve">  route: [502, 756, 115, 522, 521, 130, 377, 209, 137, 168, 666, 626, 195, 247, 144, 233, 488, 486, 75, 74, 73, 72, 124, 215, 460, 472, 126, 84, 437, 470, 83, 483, 464, 606, 607, 61, 62, 66, 64, 63, 614, 577, 576, 123, 570, 174, 76, 235, 134, 72, 124, 215, 460, 187, 127, 150, 205, 254, 177, 189, 183, 178, 175, 207, 141, 197, 643, 224, 244, 135, 121, 21, 25, 708, 717, 718, 717, 708, 25, 21, 121, 135, 244, 224, 643, 197, 141, 158, 36, 38, 164, 240, 156, 210, 180, 208, 203, 490, 482, 616, 247, 195, 626, 666, 168, 137, 209, 377, 130, 521, 522, 115, 756, 502]</t>
  </si>
  <si>
    <t xml:space="preserve">  veh 1: end_loc=502, cap_left=0, delivered=2, distance=11878.89</t>
  </si>
  <si>
    <t xml:space="preserve">  route: [502, 756, 115, 522, 521, 130, 377, 209, 137, 168, 666, 669, 564, 563, 629, 495, 441, 442, 450, 445, 458, 454, 459, 454, 453, 451, 444, 315, 496, 525, 524, 493, 101, 667, 568, 275, 630, 565, 563, 564, 669, 305, 319, 498, 500, 373, 631, 366, 346, 349, 503, 313, 343, 326, 374, 368, 350, 478, 3, 376, 362, 4, 556, 555, 10, 554, 6, 5, 4, 362, 376, 3, 478, 350, 368, 374, 326, 343, 313, 503, 2, 561, 730, 729, 34, 732, 185, 243, 236, 203, 490, 482, 616, 247, 195, 626, 666, 168, 137, 209, 377, 130, 521, 522, 115, 756, 502]</t>
  </si>
  <si>
    <t xml:space="preserve">  veh 2: end_loc=502, cap_left=0, delivered=1, distance=6446.74</t>
  </si>
  <si>
    <t xml:space="preserve">  route: [502, 756, 115, 522, 521, 130, 377, 209, 137, 168, 666, 626, 672, 92, 203, 490, 482, 616, 247, 195, 263, 144, 247, 195, 626, 666, 168, 137, 209, 377, 130, 521, 522, 115, 756, 502, 112, 755, 477, 754, 108, 100, 107, 99, 103, 98, 748, 96, 747, 748, 98, 103, 99, 107, 100, 108, 754, 477, 755, 112, 502]</t>
  </si>
  <si>
    <t>[RISK] critical degrees after protection: {502: 3, 10: 3, 459: 1, 607: 3, 718: 1, 748: 3}</t>
  </si>
  <si>
    <t>[SCENARIO 19] Depot=502</t>
  </si>
  <si>
    <t>[224, 294, 316, 350, 362, 406, 607, 783]</t>
  </si>
  <si>
    <t>[SCENARIO 0] demands=[224, 294, 316, 350, 362, 406, 607, 783] | total=8 | capacities=[3, 3, 2]</t>
  </si>
  <si>
    <t>[RISK@try0] r=0.4452 | closed_before=224 | closed_after=218 | open_ratio=81.5%</t>
  </si>
  <si>
    <t>[RISK@try1] r=0.4340 | closed_before=266 | closed_after=259 | open_ratio=78.1%</t>
  </si>
  <si>
    <t>[RISK@try2] r=0.4699 | closed_before=117 | closed_after=117 | open_ratio=90.1%</t>
  </si>
  <si>
    <t>[Graph change] nonzero edges changed: 234. Recompute SP ...</t>
  </si>
  <si>
    <t xml:space="preserve">- Target 316: reachable ✓  distance=1729.25 | path: [261, 226, 263, 144, 247, 616, 482, 490, 203, 236, 243, 185, 732, 34, 729, 730, 561, 2, 503, 349, 653, 364, 316]       </t>
  </si>
  <si>
    <t>- Target 607: reachable ✓  distance=1185.65 | path: [261, 153, 234, 117, 120, 123, 576, 577, 578, 62, 61, 607]</t>
  </si>
  <si>
    <t>- Target 406: reachable ✓  distance=2586.58 | path: [261, 196, 211, 168, 137, 209, 377, 130, 521, 522, 115, 756, 502, 112, 655, 113, 424, 416, 410, 406]</t>
  </si>
  <si>
    <t>- Target 350: reachable ✓  distance=1638.34 | path: [261, 226, 263, 144, 247, 616, 482, 490, 203, 236, 243, 185, 732, 34, 729, 730, 561, 2, 503, 313, 343, 326, 374, 368, 350]</t>
  </si>
  <si>
    <t>- Target 294: reachable ✓  distance=2534.56 | path: [261, 226, 263, 144, 247, 616, 482, 490, 203, 236, 210, 156, 240, 164, 38, 36, 158, 35, 19, 559, 558, 16, 15, 14, 636, 302, 53, 321, 638, 44, 48, 517, 49, 285, 50, 51, 52, 513, 542, 543, 602, 594, 290, 294]</t>
  </si>
  <si>
    <t>- Target 224: reachable ✓  distance=1507.29 | path: [261, 226, 263, 144, 247, 616, 482, 490, 203, 236, 210, 156, 240, 164, 38, 36, 158, 141, 197, 643, 224]</t>
  </si>
  <si>
    <t>- Target 362: reachable ✓  distance=1786.63 | path: [261, 226, 263, 144, 247, 616, 482, 490, 203, 236, 243, 185, 732, 34, 729, 730, 561, 2, 503, 313, 343, 326, 374, 368, 350, 478, 3, 376, 362]</t>
  </si>
  <si>
    <t>- Target 783: UNREACHABLE ✗ | out_deg=3 in_deg=3</t>
  </si>
  <si>
    <t>Unreachable targets: [783]</t>
  </si>
  <si>
    <t>[WARN] Unreachable after risk+reopen: [783]</t>
  </si>
  <si>
    <t>[TEST] veh=0 terminal reason=empty_home, loc=261, steps_since_delivery=33</t>
  </si>
  <si>
    <t>[TEST] veh=1 terminal reason=empty_home, loc=261, steps_since_delivery=22</t>
  </si>
  <si>
    <t>[TEST] veh=2 terminal reason=stall_vehicle, loc=196, steps_since_delivery=400</t>
  </si>
  <si>
    <t>Total shaped reward: -259.034 | deliveries=7 | backtracks=24</t>
  </si>
  <si>
    <t xml:space="preserve">  veh 0: end_loc=261, cap_left=0, delivered=3, distance=7749.76</t>
  </si>
  <si>
    <t xml:space="preserve">  route: [261, 226, 263, 144, 233, 488, 486, 75, 74, 73, 72, 124, 215, 460, 472, 126, 84, 437, 471, 68, 484, 483, 464, 606, 607, 61, 62, 66, 64, 63, 614, 577, 576, 123, 570, 174, 76, 73, 72, 124, 215, 460, 187, 127, 150, 205, 254, 177, 143, 183, 178, 175, 207, 141, 197, 643, 224, 244, 135, 121, 20, 24, 640, 639, 18, 17, 12, 11, 557, 632, 733, 699, 704, 3, 376, 362, 4, 556, 5, 4, 362, 376, 3, 478, 350, 368, 374, 326, 343, 313, 503, 2, 561, 730, 729, 34, 732, 185, 243, 236, 203, 490, 482, 616, 247, 144, 263, 226, 261]</t>
  </si>
  <si>
    <t xml:space="preserve">  veh 1: end_loc=261, cap_left=0, delivered=3, distance=8381.82</t>
  </si>
  <si>
    <t xml:space="preserve">  route: [261, 226, 263, 144, 233, 488, 486, 75, 74, 73, 72, 124, 215, 460, 187, 127, 150, 205, 254, 177, 189, 206, 37, 152, 36, 158, 35, 19, 559, 558, 13, 733, 699, 704, 3, 478, 350, 368, 479, 704, 699, 701, 699, 733, 632, 557, 11, 14, 636, 302, 53, 321, 638, 44, 48, 517, 49, 285, 50, 51, 52, 513, 542, 543, 602, 594, 290, 294, 587, 307, 591, 592, 276, 306, 310, 593, 267, 702, 703, 702, 267, 282, 88, 660, 309, 273, 599, 539, 9, 323, 329, 271, 335, 277, 743, 298, 744, 324, 357, 326, 343, 313, 503, 349, 653, 364, 316, 364, 653, 349, 503, 2, 561, 730, 729, 34, 732, 185, 243, 236, 203, 490, 482, 616, 247, 144, 263, 226, 261]</t>
  </si>
  <si>
    <t xml:space="preserve">  veh 2: end_loc=196, cap_left=1, delivered=1, distance=39220.85</t>
  </si>
  <si>
    <t xml:space="preserve">  route: [261, 226, 263, 144, 233, 488, 486, 75, 74, 73, 72, 134, 235, 76, 174, 570, 123, 576, 140, 380, 461, 462, 377, 130, 521, 522, 115, 756, 502, 112, 655, 113, 424, 416, 410, 406, 413, 406, 404, 406, 410, 412, 431, 407, 426, 423, 427, 434, 433, 113, 755, 112, 502, 756, 115, 522, 521, 130, 1, 549, 728, 672, 626, 195, 263, 226, 261, 153, 234, 117, 154, 223, 196, 211, 256, 237, 155, 170, 237, 256, 149, 162, 163, 162, 149, 223, 196, 261, 153, 234, 117, 154, 223, 196, 211, 168, 666, 626, 195, 263, 226, 261, 153, 234, 117, 120, 123, 570, 118, 570, 174, 181, 174, 76, 73, 74, 75, 486, 488, 233, 144, 263, 226, 261, 153, 234, 117, 154, 223, 196, 211, 256, 237, 155, 170, 237, 256, 149, 162, 163, 162, 149, 223, 196, 261, 153, 234, 117, 154, 223, 196, 211, 168, 666, 626, 195, 263, 226, 261, 153, 234, 117, 120, 123, 570, 118, 570, 174, 181, 174, 76, 73, 74, 75, 486, 488, 233, 144, 263, 226, 261, 153, 234, 117, 154, 223, 196, 211, 256, 237, 155, 170, 237, 256, 149, 162, 163, 162, 149, 223, 196, 261, 153, 234, 117, 154, 223, 196, 211, 168, 666, 626, 195, 263, 226, 261, 153, 234, 117, 120, 123, 570, 118, 570, 174, 181, 174, 76, 73, 74, 75, 486, 488, 233, 144, 263, 226, 261, 153, 234, 117, 154, 223, 196, 211, 256, 237, 155, 170, 237, 256, 149, 162, 163, 162, 149, 223, 196, 261, 153, 234, 117, 154, 223, 196, 211, 168, 666, 626, 195, 263, 226, 261, 153, 234, 117, 120, 123, 570, 118, 570, 174, 181, 174, 76, 73, 74, 75, 486, 488, 233, 144, 263, 226, 261, 153, 234, 117, 154, 223, 196, 211, 256, 237, 155, 170, 237, 256, 149, 162, 163, 162, 149, 223, 196, 261, 153, 234, 117, 154, 223, 196, 211, 168, 666, 626, 195, 263, 226, 261, 153, 234, 117, 120, 123, 570, 118, 570, 174, 181, 174, 76, 73, 74, 75, 486, 488, 233, 144, 263, 226, 261, 153, 234, 117, 154, 223, 196, 211, 256, 237, 155, 170, 237, 256, 149, 162, 163, 162, 149, 223, 196, 261, 153, 234, 117, 154, 223, 196, 211, 168, 666, 626, 195, 263, 226, 261, 153, 234, 117, 120, 123, 570, 118, 570, 174, 181, 174, 76, 73, 74, 75, 486, 488, 233, 144, 263, 226, 261, 153, 234, 117, 154, 223, 196, 211, 256, 237, 155, 170, 237, 256, 149, 162, 163, 162, 149, 223, 196, 261, 153, 234, 117, 154, 223, 196]</t>
  </si>
  <si>
    <t>[RISK] critical degrees after protection: {261: 3, 224: 3, 294: 2, 316: 1, 350: 3, 362: 2, 406: 3, 607: 3, 783: 3}</t>
  </si>
  <si>
    <t>[SCENARIO  20] Depot=261</t>
  </si>
  <si>
    <t>[RISK@fallback0] r=2.0000 | closed_before=0 | closed_after=0 | open_ratio=100.0%</t>
  </si>
  <si>
    <t>- Target 200: reachable ✓  distance=641.93 | path: [10, 557, 11, 14, 15, 157, 737, 643, 197, 200]</t>
  </si>
  <si>
    <t>- Target 320: reachable ✓  distance=515.65 | path: [10, 42, 651, 436, 43, 44, 638, 321, 300, 574, 320]</t>
  </si>
  <si>
    <t>- Target 120: reachable ✓  distance=1939.45 | path: [10, 557, 632, 733, 13, 558, 559, 19, 35, 158, 36, 152, 37, 206, 189, 227, 214, 128, 171, 166, 485, 132, 486, 75, 250, 234, 117, 120]</t>
  </si>
  <si>
    <t>2025-12-02 17:46:57.698483: I tensorflow/stream_executor/cuda/cuda_blas.cc:1786] TensorFloat-32 will be used for the matrix multiplication. This will only be logged once.</t>
  </si>
  <si>
    <t>[TEST] veh=0 terminal reason=empty_home, loc=10, steps_since_delivery=10</t>
  </si>
  <si>
    <t>[TEST] veh=1 terminal reason=empty_home, loc=10, steps_since_delivery=14</t>
  </si>
  <si>
    <t>[TEST] veh=2 terminal reason=solved, loc=10, steps_since_delivery=25</t>
  </si>
  <si>
    <t>Total shaped reward: -32.097 | deliveries=3 | backtracks=0</t>
  </si>
  <si>
    <t xml:space="preserve">  veh 0: end_loc=10, cap_left=0, delivered=1, distance=1697.53</t>
  </si>
  <si>
    <t xml:space="preserve">  route: [10, 55, 650, 651, 648, 339, 7, 8, 45, 512, 266, 600, 270, 314, 47, 48, 517, 49, 647, 320, 574, 300, 321, 638, 44, 43, 436, 651, 42, 10]</t>
  </si>
  <si>
    <t xml:space="preserve">  veh 1: end_loc=10, cap_left=0, delivered=1, distance=2958.78</t>
  </si>
  <si>
    <t xml:space="preserve">  route: [10, 55, 650, 651, 648, 339, 7, 8, 45, 512, 266, 292, 9, 323, 329, 354, 645, 340, 649, 6, 5, 556, 555, 632, 733, 13, 16, 15, 157, 737, 643, 197, 200, 204, 175, 152, 36, 158, 35, 19, 559, 558, 13, 733, 632, 557, 10]</t>
  </si>
  <si>
    <t xml:space="preserve">  veh 2: end_loc=10, cap_left=0, delivered=1, distance=5323.47</t>
  </si>
  <si>
    <t xml:space="preserve">  route: [10, 55, 650, 651, 648, 339, 7, 8, 45, 512, 266, 292, 9, 323, 329, 354, 645, 340, 649, 6, 5, 4, 362, 376, 3, 704, 479, 561, 730, 729, 34, 732, 185, 243, 236, 203, 490, 482, 616, 247, 144, 263, 226, 261, 153, 154, 117, 120, 162, 149, 223, 261, 226, 263, 144, 247, 616, 482, 490, 203, 236, 243, 185, 732, 34, 729, 730, 561, 479, 704, 3, 555, 10]</t>
  </si>
  <si>
    <t>[RISK] critical degrees after protection: {10: 5, 120: 4, 200: 4, 320: 3}</t>
  </si>
  <si>
    <t>Total Inference Runtime: 62.44 s (1.04 min)</t>
  </si>
  <si>
    <t xml:space="preserve">PS C:\BaharHoca deprem testleri\Bahar_Deprem_Final_verim arttırmak için yeni dizayn_çok nodlu_ADJUSTED_Final eğitimler&gt; </t>
  </si>
  <si>
    <t>- Target 316: reachable ✓  distance=1836.99 | path: [0, 664, 646, 89, 518, 736, 516, 735, 734, 633, 54, 55, 10, 555, 3, 704, 479, 561, 2, 503, 349, 653, 364, 316]</t>
  </si>
  <si>
    <t>- Target 464: reachable ✓  distance=2320.13 | path: [0, 664, 662, 663, 440, 169, 191, 231, 148, 147, 710, 213, 28, 160, 228, 553, 176, 222, 194, 31, 32, 159, 167, 675, 676, 260, 199, 129, 438, 198, 122, 85, 437, 470, 83, 483, 464]</t>
  </si>
  <si>
    <t>- Target 607: reachable ✓  distance=2509.46 | path: [0, 664, 662, 663, 440, 169, 191, 231, 148, 147, 710, 213, 28, 160, 228, 553, 176, 222, 194, 31, 32, 159, 167, 675, 676, 260, 199, 129, 438, 198, 122, 85, 437, 470, 83, 483, 464, 606, 607]</t>
  </si>
  <si>
    <t>- Target 748: reachable ✓  distance=4808.73 | path: [0, 664, 662, 663, 440, 169, 29, 23, 18, 17, 91, 681, 683, 92, 672, 728, 549, 1, 130, 521, 522, 115, 756, 114, 433, 113, 755, 477, 108, 100, 107, 99, 103, 98, 748]</t>
  </si>
  <si>
    <t>2025-12-02 18:00:21.994354: I tensorflow/stream_executor/cuda/cuda_blas.cc:1786] TensorFloat-32 will be used for the matrix multiplication. This will only be logged once.</t>
  </si>
  <si>
    <t>[TEST] veh=0 terminal reason=empty_home, loc=0, steps_since_delivery=41</t>
  </si>
  <si>
    <t>[TEST] veh=1 terminal reason=empty_home, loc=0, steps_since_delivery=41</t>
  </si>
  <si>
    <t>[TEST] veh=2 terminal reason=solved, loc=0, steps_since_delivery=37</t>
  </si>
  <si>
    <t>Total shaped reward: -75.417 | deliveries=4 | backtracks=2</t>
  </si>
  <si>
    <t xml:space="preserve">  veh 0: end_loc=0, cap_left=0, delivered=2, distance=7998.07</t>
  </si>
  <si>
    <t xml:space="preserve">  route: [0, 664, 646, 89, 308, 810, 674, 312, 736, 518, 90, 603, 2, 503, 349, 653, 364, 316, 364, 345, 678, 345, 346, 366, 331, 365, 280, 348, 344, 628, 279, 562, 499, 305, 669, 666, 626, 195, 263, 226, 487, 250, 75, 74, 73, 72, 70, 165, 71, 484, 483, 464, 60, 604, 607, 606, 464, 483, 83, 470, 437, 85, 122, 198, 438, 129, 199, 260, 676, 675, 167, 159, 32, 31, 194, 222, 176, 553, 228, 160, 28, 213, 710, 147, 148, 231, 191, 169, 440, 663, 662, 664, 0]</t>
  </si>
  <si>
    <t xml:space="preserve">  veh 1: end_loc=0, cap_left=0, delivered=1, distance=6349.76</t>
  </si>
  <si>
    <t xml:space="preserve">  route: [0, 664, 646, 89, 308, 810, 674, 312, 736, 518, 90, 603, 2, 561, 730, 729, 34, 732, 212, 216, 240, 164, 37, 206, 189, 177, 254, 205, 150, 127, 172, 472, 126, 84, 437, 470, 83, 483, 464, 606, 607, 61, 466, 465, 606, 464, 483, 83, 470, 437, 85, 122, 198, 438, 129, 199, 260, 676, 675, 167, 159, 32, 31, 194, 222, 176, 553, 228, 160, 28, 213, 710, 147, 148, 231, 191, 169, 440, 663, 662, 664, 0]</t>
  </si>
  <si>
    <t xml:space="preserve">  veh 2: end_loc=0, cap_left=0, delivered=1, distance=10260.24</t>
  </si>
  <si>
    <t xml:space="preserve">  route: [0, 664, 646, 89, 308, 810, 674, 312, 736, 518, 90, 603, 93, 319, 305, 669, 666, 168, 137, 209, 377, 130, 521, 522, 115, 756, 114, 433, 113, 755, 477, 108, 100, 107, 99, 103, 98, 748, 96, 747, 748, 98, 103, 99, 107, 100, 108, 477, 755, 113, 433, 114, 756, 115, 522, 521, 130, 1, 549, 728, 672, 92, 683, 681, 91, 17, 18, 23, 29, 169, 440, 663, 662, 664, 0]</t>
  </si>
  <si>
    <t>[RISK] critical degrees after protection: {0: 1, 316: 1, 464: 3, 607: 3, 748: 3}</t>
  </si>
  <si>
    <t>Total Inference Runtime: 121.12 s (2.02 min)</t>
  </si>
  <si>
    <t>- Target 316: reachable ✓  distance=654.12 | path: [368, 479, 561, 2, 503, 349, 653, 364, 316]</t>
  </si>
  <si>
    <t>- Target 464: reachable ✓  distance=1784.16 | path: [368, 479, 561, 730, 729, 34, 732, 212, 216, 240, 164, 37, 206, 189, 177, 254, 205, 150, 127, 172, 472, 126, 84, 437, 470, 83, 483, 464]</t>
  </si>
  <si>
    <t>- Target 607: reachable ✓  distance=1973.49 | path: [368, 479, 561, 730, 729, 34, 732, 212, 216, 240, 164, 37, 206, 189, 177, 254, 205, 150, 127, 172, 472, 126, 84, 437, 470, 83, 483, 464, 606, 607]</t>
  </si>
  <si>
    <t>- Target 748: reachable ✓  distance=3747.46 | path: [368, 479, 561, 730, 729, 680, 683, 92, 672, 728, 549, 1, 130, 521, 522, 115, 756, 114, 433, 113, 755, 477, 108, 100, 107, 99, 103, 98, 748]</t>
  </si>
  <si>
    <t>2025-12-02 18:13:55.112186: I tensorflow/stream_executor/cuda/cuda_blas.cc:1786] TensorFloat-32 will be used for the matrix multiplication. This will only be logged once.</t>
  </si>
  <si>
    <t>[TEST] veh=0 terminal reason=solved, loc=368, steps_since_delivery=31</t>
  </si>
  <si>
    <t>Total shaped reward: -26.089 | deliveries=4 | backtracks=2</t>
  </si>
  <si>
    <t xml:space="preserve">  veh 0: end_loc=368, cap_left=0, delivered=4, distance=11841.97</t>
  </si>
  <si>
    <t xml:space="preserve">  route: [368, 350, 332, 328, 478, 3, 376, 362, 4, 556, 5, 6, 554, 10, 557, 632, 555, 3, 704, 479, 561, 2, 503, 349, 653, 364, 316, 364, 345, 678, 345, 346, 366, 331, 365, 280, 348, 344, 628, 279, 562, 499, 305, 669, 666, 626, 195, 263, 226, 487, 250, 75, 74, 73, 72, 70, 165, 71, 484, 483, 464, 606, 607, 61, 62, 66, 64, 63, 578, 577, 576, 123, 120, 162, 155, 170, 137, 209, 377, 130, 521, 522, 115, 756, 114, 433, 113, 755, 477, 108, 100, 107, 99, 103, 98, 748, 96, 747, 748, 98, 103, 99, 107, 100, 108, 477, 755, 113, 433, 114, 756, 115, 522, 521, 130, 1, 549, 728, 672, 92, 683, 680, 729, 730, 561, 479, 368]</t>
  </si>
  <si>
    <t>[RISK] critical degrees after protection: {368: 3, 316: 1, 464: 3, 607: 3, 748: 3}</t>
  </si>
  <si>
    <t>Total Inference Runtime: 49.06 s (0.82 min)</t>
  </si>
  <si>
    <t>comparison</t>
  </si>
  <si>
    <t>Scen1</t>
  </si>
  <si>
    <t>Depot</t>
  </si>
  <si>
    <t>Demand Nodes</t>
  </si>
  <si>
    <t>Num Vehicle</t>
  </si>
  <si>
    <t>Capacity</t>
  </si>
  <si>
    <t>Total Distance of RL</t>
  </si>
  <si>
    <t xml:space="preserve">Total Distance of OR-TOOLS </t>
  </si>
  <si>
    <t>GAP</t>
  </si>
  <si>
    <t>[120, 200, 320]</t>
  </si>
  <si>
    <t>[SCENARIO 1] Depot=10</t>
  </si>
  <si>
    <t>[SCENARIO 1] demands=[120, 200, 320] | total=3 | capacities=[1, 1, 1]</t>
  </si>
  <si>
    <t>Run Time (Sec)</t>
  </si>
  <si>
    <t>[SCENARIO 2] Depot=0</t>
  </si>
  <si>
    <t>[SCENARIO 2] demands=[316, 464, 607, 748] | total=4 | capacities=[2, 1, 1]</t>
  </si>
  <si>
    <t>[316, 464, 607, 748]</t>
  </si>
  <si>
    <t>[SCENARIO 3] Depot=368</t>
  </si>
  <si>
    <t>[SCENARIO 3] demands=[316, 464, 607, 748] | total=4 | capacities=[4]</t>
  </si>
  <si>
    <t xml:space="preserve">[316, 464, 607, 748] </t>
  </si>
  <si>
    <t>[4]</t>
  </si>
  <si>
    <t>[12, 14, 18, 322]</t>
  </si>
  <si>
    <t>[SCENARIO 0] demands=[12, 14, 18, 322] | total=4 | capacities=[2, 2]</t>
  </si>
  <si>
    <t>- Target 12: reachable ✓  distance=3030.69 | path: [522, 521, 130, 377, 209, 137, 168, 666, 626, 195, 247, 616, 482, 490, 203, 236, 243, 185, 732, 34, 731, 575, 33, 560, 559, 558, 16, 15, 14, 12]</t>
  </si>
  <si>
    <t>- Target 14: reachable ✓  distance=2980.16 | path: [522, 521, 130, 377, 209, 137, 168, 666, 626, 195, 247, 616, 482, 490, 203, 236, 243, 185, 732, 34, 731, 575, 33, 560, 559, 558, 16, 15, 14]</t>
  </si>
  <si>
    <t>- Target 18: reachable ✓  distance=3054.33 | path: [522, 521, 130, 1, 549, 728, 672, 92, 683, 681, 91, 17, 18]</t>
  </si>
  <si>
    <t>- Target 322: reachable ✓  distance=3999.61 | path: [522, 521, 130, 1, 549, 728, 672, 92, 683, 680, 729, 730, 561, 479, 704, 3, 555, 10, 42, 651, 436, 43, 44, 48, 517, 49, 285, 50, 51, 52, 513, 542, 543, 602, 546, 596, 509, 322]</t>
  </si>
  <si>
    <t>2025-12-03 13:09:45.966458: I tensorflow/stream_executor/cuda/cuda_blas.cc:1786] TensorFloat-32 will be used for the matrix multiplication. This will only be logged once.</t>
  </si>
  <si>
    <t>[TEST] veh=0 terminal reason=empty_home, loc=522, steps_since_delivery=12</t>
  </si>
  <si>
    <t>[TEST] veh=1 terminal reason=solved, loc=522, steps_since_delivery=37</t>
  </si>
  <si>
    <t>Total shaped reward: -4.462 | deliveries=4 | backtracks=0</t>
  </si>
  <si>
    <t xml:space="preserve">  veh 0: end_loc=522, cap_left=0, delivered=2, distance=6660.85</t>
  </si>
  <si>
    <t xml:space="preserve">  route: [522, 521, 130, 377, 209, 137, 168, 211, 196, 261, 153, 234, 250, 487, 488, 233, 232, 221, 616, 482, 490, 203, 236, 243, 185, 732, 34, 731, 575, 33, 560, 559, 558, 16, 15, 14, 12, 17, 91, 681, 683, 92, 672, 728, 549, 1, 130, 521, 522]</t>
  </si>
  <si>
    <t xml:space="preserve">  veh 1: end_loc=522, cap_left=0, delivered=2, distance=8827.74</t>
  </si>
  <si>
    <t xml:space="preserve">  route: [522, 521, 130, 377, 209, 137, 168, 211, 196, 261, 153, 234, 250, 487, 488, 233, 232, 221, 616, 482, 490, 203, 236, 243, 185, 732, 34, 729, 682, 681, 91, 17, 18, 639, 640, 24, 721, 22, 719, 23, 29, 169, 440, 663, 662, 664, 646, 308, 283, 293, 311, 322, 509, 596, 546, 602, 543, 542, 513, 52, 51, 50, 285, 49, 517, 48, 44, 43, 436, 651, 42, 10, 555, 3, 704, 479, 561, 730, 729, 680, 683, 92, 672, 728, 549, 1, 130, 521, 522]</t>
  </si>
  <si>
    <t>[RISK] critical degrees after protection: {522: 2, 12: 3, 14: 4, 18: 3, 322: 3}</t>
  </si>
  <si>
    <t>Total Inference Runtime: 55.48 s (0.92 min)</t>
  </si>
  <si>
    <t>[224, 294, 316, 350, 362, 406, 607, 638]</t>
  </si>
  <si>
    <t>[SCENARIO4] Depot=522</t>
  </si>
  <si>
    <t>[8]</t>
  </si>
  <si>
    <t>- Target 224: reachable ✓  distance=1497.58 | path: [261, 226, 263, 144, 233, 232, 192, 125, 166, 171, 128, 214, 227, 189, 206, 178, 175, 207, 141, 197, 643, 224]</t>
  </si>
  <si>
    <t>- Target 294: reachable ✓  distance=2339.99 | path: [261, 226, 263, 144, 247, 616, 482, 490, 203, 236, 243, 185, 732, 34, 729, 730, 561, 479, 704, 3, 555, 10, 42, 651, 436, 43, 44, 48, 517, 49, 285, 50, 51, 52, 513, 542, 514, 294]</t>
  </si>
  <si>
    <t>- Target 316: reachable ✓  distance=1630.29 | path: [261, 196, 211, 168, 666, 669, 305, 499, 562, 279, 628, 344, 348, 280, 365, 627, 345, 364, 316]</t>
  </si>
  <si>
    <t>- Target 350: reachable ✓  distance=1379.13 | path: [261, 226, 263, 144, 247, 616, 482, 490, 203, 236, 243, 185, 732, 34, 729, 730, 561, 479, 368, 350]</t>
  </si>
  <si>
    <t>- Target 362: reachable ✓  distance=1516.67 | path: [261, 226, 263, 144, 247, 616, 482, 490, 203, 236, 243, 185, 732, 34, 729, 730, 561, 479, 704, 3, 376, 362]</t>
  </si>
  <si>
    <t>- Target 406: reachable ✓  distance=2328.53 | path: [261, 223, 149, 162, 155, 170, 137, 209, 377, 130, 521, 522, 115, 756, 114, 433, 113, 424, 416, 410, 406]</t>
  </si>
  <si>
    <t>- Target 607: reachable ✓  distance=922.55 | path: [261, 226, 487, 250, 75, 74, 73, 72, 134, 265, 467, 473, 465, 606, 607]</t>
  </si>
  <si>
    <t>- Target 638: reachable ✓  distance=1961.48 | path: [261, 226, 263, 144, 247, 616, 482, 490, 203, 236, 243, 185, 732, 34, 729, 730, 561, 479, 704, 3, 555, 10, 42, 651, 436, 43, 44, 638]</t>
  </si>
  <si>
    <t>2025-12-03 13:22:55.269034: I tensorflow/stream_executor/cuda/cuda_blas.cc:1786] TensorFloat-32 will be used for the matrix multiplication. This will only be logged once.</t>
  </si>
  <si>
    <t>[TEST] veh=0 terminal reason=solved, loc=261, steps_since_delivery=19</t>
  </si>
  <si>
    <t>Total shaped reward: -54.699 | deliveries=8 | backtracks=1</t>
  </si>
  <si>
    <t xml:space="preserve">  veh 0: end_loc=261, cap_left=0, delivered=8, distance=18049.02</t>
  </si>
  <si>
    <t xml:space="preserve">  route: [261, 153, 234, 250, 487, 488, 233, 144, 247, 195, 626, 666, 669, 305, 499, 562, 567, 279, 628, 344, 348, 280, 365, 627, 345, 364, 316, 364, 653, 313, 343, 326, 357, 324, 744, 298, 327, 351, 375, 362, 4, 556, 5, 6, 649, 339, 7, 8, 45, 512, 46, 47, 48, 44, 638, 321, 53, 302, 636, 635, 642, 15, 14, 12, 17, 18, 639, 640, 24, 20, 224, 643, 737, 35, 158, 36, 152, 37, 206, 178, 183, 143, 474, 131, 150, 127, 172, 186, 126, 84, 122, 85, 437, 470, 83, 483, 464, 606, 607, 61, 62, 66, 64, 63, 578, 577, 576, 123, 120, 117, 154, 153, 261, 226, 263, 195, 247, 616, 482, 490, 203, 236, 243, 185, 732, 34, 729, 730, 561, 479, 368, 350, 332, 328, 478, 3, 376, 362, 4, 556, 5, 6, 649, 339, 7, 8, 45, 512, 266, 600, 270, 278, 304, 272, 281, 287, 588, 286, 514, 294, 290, 306, 276, 593, 310, 597, 595, 594, 602, 543, 545, 541, 547, 291, 513, 52, 51, 50, 285, 49, 517, 48, 44, 43, 436, 651, 42, 10, 555, 3, 704, 479, 561, 730, 729, 680, 683, 92, 672, 728, 549, 1, 130, 521, 522, 115, 756, 114, 433, 113, 424, 416, 410, 406, 413, 424, 113, 433, 114, 756, 115, 522, 521, 130, 377, 209, 137, 170, 155, 162, 149, 223, 261]</t>
  </si>
  <si>
    <t>[RISK] critical degrees after protection: {261: 4, 224: 3, 294: 3, 316: 1, 350: 3, 362: 3, 406: 3, 607: 3, 638: 3}</t>
  </si>
  <si>
    <t>Total Inference Runtime: 65.53 s (1.09 min)</t>
  </si>
  <si>
    <t>[SCENARIO 5] Depot=261</t>
  </si>
  <si>
    <t>[SCENARIO 5] demands=[224, 294, 316, 350, 362, 406, 607, 638] | total=8 | capacities=[8]</t>
  </si>
  <si>
    <t>Classic DDQN</t>
  </si>
  <si>
    <t>Integer Programming</t>
  </si>
  <si>
    <t>can not be solved</t>
  </si>
  <si>
    <t>[SCENARIO 0] demands=[135, 275, 316, 321, 341, 464, 516] | total=7 | capacities=[4, 3]</t>
  </si>
  <si>
    <t>- Target 135: reachable ✓  distance=1242.06 | path: [267, 593, 276, 592, 591, 307, 286, 548, 52, 51, 50, 285, 49, 517, 48, 44, 638, 321, 53, 302, 636, 635, 20, 121, 135]</t>
  </si>
  <si>
    <t>- Target 464: reachable ✓  distance=2423.46 | path: [267, 593, 276, 592, 591, 307, 286, 548, 52, 51, 50, 285, 49, 517, 48, 44, 638, 321, 53, 302, 636, 635, 642, 157, 737, 643, 197, 200, 204, 551, 258, 259, 184, 119, 142, 474, 131, 150, 127, 172, 472, 126, 84, 437, 470, 83, 483, 464]</t>
  </si>
  <si>
    <t>2025-12-03 13:32:49.373169: I tensorflow/stream_executor/cuda/cuda_blas.cc:1786] TensorFloat-32 will be used for the matrix multiplication. This will only be logged once.</t>
  </si>
  <si>
    <t>[TEST] veh=0 terminal reason=empty_home, loc=267, steps_since_delivery=34</t>
  </si>
  <si>
    <t>[TEST] veh=1 terminal reason=solved, loc=267, steps_since_delivery=26</t>
  </si>
  <si>
    <t>Total shaped reward: -68.021 | deliveries=7 | backtracks=5</t>
  </si>
  <si>
    <t xml:space="preserve">  veh 0: end_loc=267, cap_left=0, delivered=4, distance=7901.21</t>
  </si>
  <si>
    <t xml:space="preserve">  route: [267, 593, 276, 306, 310, 597, 596, 509, 511, 303, 511, 509, 544, 284, 545, 541, 540, 586, 585, 530, 584, 531, 288, 529, 528, 516, 736, 518, 89, 308, 646, 664, 0, 664, 662, 663, 440, 169, 29, 23, 719, 22, 21, 121, 135, 244, 224, 20, 642, 15, 14, 12, 17, 91, 681, 682, 730, 561, 2, 503, 349, 653, 364, 316, 364, 345, 678, 345, 346, 366, 331, 365, 280, 348, 370, 341, 344, 348, 280, 365, 627, 345, 364, 653, 349, 503, 2, 561, 479, 704, 3, 376, 362, 4, 5, 6, 649, 339, 7, 8, 292, 9, 539, 599, 273, 309, 660, 88, 282, 267]</t>
  </si>
  <si>
    <t xml:space="preserve">  veh 1: end_loc=267, cap_left=0, delivered=3, distance=8239.29</t>
  </si>
  <si>
    <t xml:space="preserve">  route: [267, 593, 276, 306, 310, 597, 596, 509, 511, 303, 511, 509, 544, 284, 545, 541, 547, 291, 513, 52, 51, 50, 285, 49, 517, 48, 44, 638, 321, 53, 302, 636, 635, 642, 20, 24, 640, 639, 18, 17, 12, 14, 15, 157, 737, 643, 197, 200, 204, 551, 258, 259, 184, 119, 142, 474, 131, 150, 127, 172, 472, 126, 84, 437, 470, 83, 483, 464, 606, 607, 61, 62, 66, 64, 63, 578, 577, 576, 123, 120, 162, 149, 223, 196, 211, 168, 666, 669, 564, 630, 275, 93, 603, 2, 561, 479, 704, 3, 376, 362, 4, 5, 6, 649, 339, 7, 8, 292, 9, 539, 599, 273, 309, 660, 88, 282, 267]</t>
  </si>
  <si>
    <t>[RISK] critical degrees after protection: {267: 3, 135: 3, 275: 3, 316: 1, 321: 3, 341: 3, 464: 3, 516: 3}</t>
  </si>
  <si>
    <t>Total Inference Runtime: 68.47 s (1.14 min)</t>
  </si>
  <si>
    <t>[SCENARIO 6] Depot=267</t>
  </si>
  <si>
    <t>- Target 464: reachable ✓  distance=872.56 | path: [223, 154, 117, 120, 123, 570, 118, 265, 467, 473, 465, 606, 464]</t>
  </si>
  <si>
    <t>2025-12-03 15:56:00.834217: I tensorflow/stream_executor/cuda/cuda_blas.cc:1786] TensorFloat-32 will be used for the matrix multiplication. This will only be logged once.</t>
  </si>
  <si>
    <t>[TEST] veh=0 terminal reason=empty_home, loc=223, steps_since_delivery=15</t>
  </si>
  <si>
    <t>[TEST] veh=1 terminal reason=solved, loc=223, steps_since_delivery=27</t>
  </si>
  <si>
    <t>Total shaped reward: -14.586 | deliveries=2 | backtracks=0</t>
  </si>
  <si>
    <t xml:space="preserve">  veh 0: end_loc=223, cap_left=0, delivered=1, distance=3185.68</t>
  </si>
  <si>
    <t xml:space="preserve">  route: [223, 154, 153, 234, 250, 487, 488, 233, 144, 247, 195, 263, 226, 261, 196, 211, 256, 149, 162, 120, 123, 570, 118, 265, 467, 473, 465, 606, 464, 60, 604, 607, 606, 465, 473, 467, 265, 118, 570, 123, 120, 117, 154, 223]</t>
  </si>
  <si>
    <t xml:space="preserve">  veh 1: end_loc=223, cap_left=0, delivered=1, distance=5775.10</t>
  </si>
  <si>
    <t xml:space="preserve">  route: [223, 154, 153, 234, 250, 487, 488, 233, 144, 247, 195, 626, 666, 168, 137, 209, 377, 130, 521, 522, 115, 756, 114, 433, 113, 755, 477, 108, 100, 107, 99, 103, 98, 748, 96, 747, 748, 98, 103, 99, 107, 100, 108, 477, 755, 113, 433, 114, 756, 115, 522, 521, 130, 377, 209, 137, 170, 155, 162, 149, 223]</t>
  </si>
  <si>
    <t>[RISK] critical degrees after protection: {223: 4, 464: 3, 748: 3}</t>
  </si>
  <si>
    <t>Total Inference Runtime: 44.31 s (0.74 min)</t>
  </si>
  <si>
    <t>[SCENARIO 70] Depot=223</t>
  </si>
  <si>
    <t>[SCENARIO 7] demands=[464, 748] | total=2 | capacities=[1, 1]</t>
  </si>
  <si>
    <t>[1, 1]</t>
  </si>
  <si>
    <t>- Target 18: reachable ✓  distance=1003.30 | path: [32, 31, 194, 222, 176, 553, 228, 238, 217, 25, 21, 22, 719, 23, 18]</t>
  </si>
  <si>
    <t>2025-12-03 16:05:55.001747: I tensorflow/stream_executor/cuda/cuda_blas.cc:1786] TensorFloat-32 will be used for the matrix multiplication. This will only be logged once.</t>
  </si>
  <si>
    <t>[TEST] veh=0 terminal reason=solved, loc=32, steps_since_delivery=14</t>
  </si>
  <si>
    <t>Total shaped reward: 14.744 | deliveries=1 | backtracks=0</t>
  </si>
  <si>
    <t xml:space="preserve">  veh 0: end_loc=32, cap_left=0, delivered=1, distance=2090.07</t>
  </si>
  <si>
    <t xml:space="preserve">  route: [32, 31, 194, 222, 176, 246, 218, 244, 224, 20, 642, 635, 641, 640, 639, 18, 23, 719, 22, 21, 25, 217, 238, 228, 553, 176, 222, 194, 31, 32]</t>
  </si>
  <si>
    <t>[RISK] critical degrees after protection: {32: 4, 18: 3}</t>
  </si>
  <si>
    <t>Total Inference Runtime: 12.41 s (0.21 min)</t>
  </si>
  <si>
    <t>[SCENARIO 8] Depot=32</t>
  </si>
  <si>
    <t>[SCENARIO 8] demands=[18] | total=1 | capacities=[1]</t>
  </si>
  <si>
    <t>[18]</t>
  </si>
  <si>
    <t>[1]</t>
  </si>
  <si>
    <t>[229, 244, 282, 529, 577, 607, 686, 748, 762]</t>
  </si>
  <si>
    <t>[SCENARIO 0] demands=[229, 244, 282, 529, 577, 607, 686, 748, 762] | total=9 | capacities=[3, 3, 3]</t>
  </si>
  <si>
    <t>- Target 244: reachable ✓  distance=3300.16 | path: [113, 433, 114, 756, 115, 522, 521, 130, 377, 209, 137, 168, 666, 626, 195, 247, 616, 482, 490, 203, 236, 210, 156, 240, 164, 38, 36, 158, 141, 197, 643, 224, 244]</t>
  </si>
  <si>
    <t>- Target 529: reachable ✓  distance=3966.78 | path: [113, 433, 114, 756, 115, 522, 521, 130, 1, 549, 728, 672, 92, 683, 680, 729, 730, 561, 479, 704, 3, 555, 10, 55, 54, 633, 734, 735, 516, 528, 529]</t>
  </si>
  <si>
    <t>- Target 686: reachable ✓  distance=3372.48 | path: [113, 433, 114, 756, 115, 522, 521, 130, 377, 209, 137, 168, 666, 626, 195, 247, 144, 233, 232, 192, 125, 166, 171, 128, 214, 227, 189, 206, 178, 258, 193, 179, 220, 222, 686]</t>
  </si>
  <si>
    <t>- Target 748: reachable ✓  distance=661.96 | path: [113, 755, 477, 108, 100, 107, 99, 103, 98, 748]</t>
  </si>
  <si>
    <t>2025-12-03 16:14:44.987254: I tensorflow/stream_executor/cuda/cuda_blas.cc:1786] TensorFloat-32 will be used for the matrix multiplication. This will only be logged once.</t>
  </si>
  <si>
    <t>[TEST] veh=0 terminal reason=empty_home, loc=113, steps_since_delivery=28</t>
  </si>
  <si>
    <t>[TEST] veh=1 terminal reason=empty_home, loc=113, steps_since_delivery=34</t>
  </si>
  <si>
    <t>[TEST] veh=2 terminal reason=solved, loc=113, steps_since_delivery=38</t>
  </si>
  <si>
    <t>Total shaped reward: -147.566 | deliveries=9 | backtracks=5</t>
  </si>
  <si>
    <t xml:space="preserve">  veh 0: end_loc=113, cap_left=0, delivered=3, distance=11651.30</t>
  </si>
  <si>
    <t xml:space="preserve">  route: [113, 433, 434, 424, 416, 413, 406, 410, 423, 427, 411, 677, 417, 419, 114, 756, 502, 112, 758, 753, 760, 754, 108, 100, 107, 99, 103, 98, 748, 747, 812, 102, 104, 813, 106, 105, 814, 102, 104, 106, 105, 814, 102, 812, 611, 750, 749, 746, 80, 428, 403, 81, 425, 82, 390, 762, 761, 399, 491, 492, 491, 82, 425, 415, 425, 81, 435, 405, 409, 469, 432, 428, 80, 746, 749, 752, 679, 414, 431, 407, 677, 417, 419, 114, 756, 115, 522, 521, 130, 377, 462, 461, 380, 140, 576, 577, 578, 62, 61, 607, 604, 60, 763, 79, 67, 65, 64, 63, 578, 577, 576, 140, 380, 461, 462, 377, 130, 521, 522, 115, 756, 114, 433, 113]</t>
  </si>
  <si>
    <t xml:space="preserve">  veh 1: end_loc=113, cap_left=0, delivered=3, distance=9986.87</t>
  </si>
  <si>
    <t xml:space="preserve">  route: [113, 433, 434, 424, 416, 413, 406, 410, 423, 427, 411, 677, 417, 419, 114, 756, 115, 522, 521, 130, 377, 462, 461, 380, 140, 576, 577, 578, 62, 61, 607, 604, 605, 66, 64, 63, 614, 615, 480, 463, 65, 67, 764, 763, 60, 464, 483, 484, 68, 69, 215, 124, 229, 202, 132, 485, 242, 161, 257, 227, 189, 177, 254, 131, 726, 201, 173, 252, 138, 255, 139, 220, 222, 686, 222, 220, 179, 193, 258, 178, 206, 189, 227, 214, 128, 171, 166, 125, 192, 232, 233, 144, 247, 195, 626, 666, 168, 137, 209, 377, 130, 521, 522, 115, 756, 114, 433, 113]</t>
  </si>
  <si>
    <t xml:space="preserve">  veh 2: end_loc=113, cap_left=0, delivered=3, distance=12630.86</t>
  </si>
  <si>
    <t xml:space="preserve">  route: [113, 433, 434, 424, 416, 413, 406, 410, 423, 427, 411, 677, 417, 419, 114, 756, 115, 522, 521, 130, 377, 209, 137, 168, 666, 626, 195, 247, 616, 482, 490, 203, 236, 210, 156, 240, 164, 38, 36, 158, 141, 197, 643, 224, 244, 135, 121, 20, 642, 15, 14, 12, 17, 91, 681, 682, 730, 561, 479, 368, 350, 478, 3, 555, 10, 55, 54, 633, 734, 735, 516, 528, 529, 583, 527, 673, 674, 312, 736, 518, 89, 308, 646, 664, 0, 664, 662, 663, 440, 806, 804, 805, 804, 806, 662, 664, 646, 308, 810, 674, 318, 586, 540, 541, 545, 543, 602, 594, 290, 306, 276, 282, 88, 660, 309, 273, 599, 539, 9, 292, 8, 7, 339, 649, 6, 5, 4, 362, 376, 3, 704, 479, 561, 730, 729, 680, 683, 92, 672, 728, 549, 1, 130, 521, 522, 115, 756, 114, 433, 113]</t>
  </si>
  <si>
    <t>[RISK] critical degrees after protection: {113: 4, 229: 3, 244: 4, 282: 3, 529: 3, 577: 3, 607: 3, 686: 1, 748: 3, 762: 2}</t>
  </si>
  <si>
    <t>Total Inference Runtime: 141.78 s (2.36 min)</t>
  </si>
  <si>
    <t>[SCENARIO 9] Depot=113</t>
  </si>
  <si>
    <t>[SCENARIO 0] demands=[464, 573, 607, 699] | total=4 | capacities=[1, 1, 1, 1]</t>
  </si>
  <si>
    <t>- Target 699: reachable ✓  distance=2173.10 | path: [77, 381, 386, 571, 382, 383, 385, 57, 85, 122, 84, 126, 472, 172, 127, 150, 205, 254, 177, 189, 206, 37, 152, 36, 158, 35, 19, 559, 558, 13, 733, 699]</t>
  </si>
  <si>
    <t>2025-12-03 16:27:02.419784: I tensorflow/stream_executor/cuda/cuda_blas.cc:1786] TensorFloat-32 will be used for the matrix multiplication. This will only be logged once.</t>
  </si>
  <si>
    <t>[TEST] veh=0 terminal reason=empty_home, loc=77, steps_since_delivery=11</t>
  </si>
  <si>
    <t>[TEST] veh=1 terminal reason=empty_home, loc=77, steps_since_delivery=12</t>
  </si>
  <si>
    <t>[TEST] veh=2 terminal reason=empty_home, loc=77, steps_since_delivery=35</t>
  </si>
  <si>
    <t>[TEST] veh=3 terminal reason=solved, loc=77, steps_since_delivery=34</t>
  </si>
  <si>
    <t>Total shaped reward: -60.836 | deliveries=4 | backtracks=0</t>
  </si>
  <si>
    <t xml:space="preserve">  veh 0: end_loc=77, cap_left=0, delivered=1, distance=2423.09</t>
  </si>
  <si>
    <t xml:space="preserve">  route: [77, 381, 386, 571, 382, 383, 385, 57, 85, 437, 84, 122, 198, 239, 126, 472, 172, 186, 129, 438, 439, 151, 245, 199, 129, 438, 198, 122, 85, 437, 470, 83, 483, 464, 60, 763, 79, 67, 65, 463, 610, 815, 816, 78, 77]</t>
  </si>
  <si>
    <t xml:space="preserve">  veh 1: end_loc=77, cap_left=0, delivered=1, distance=2480.47</t>
  </si>
  <si>
    <t xml:space="preserve">  route: [77, 381, 386, 571, 382, 383, 385, 57, 85, 437, 84, 122, 198, 239, 126, 472, 172, 186, 129, 438, 439, 151, 245, 199, 129, 438, 198, 122, 85, 437, 470, 83, 483, 464, 606, 607, 604, 60, 763, 79, 67, 65, 463, 610, 815, 816, 78, 77]</t>
  </si>
  <si>
    <t xml:space="preserve">  veh 2: end_loc=77, cap_left=0, delivered=1, distance=4426.16</t>
  </si>
  <si>
    <t xml:space="preserve">  route: [77, 381, 386, 571, 382, 383, 385, 57, 85, 437, 84, 126, 472, 460, 187, 225, 205, 254, 177, 189, 206, 37, 152, 36, 158, 35, 19, 559, 558, 13, 733, 699, 704, 3, 555, 632, 733, 13, 558, 559, 19, 35, 158, 36, 152, 37, 206, 189, 177, 254, 205, 150, 127, 172, 472, 126, 84, 122, 85, 57, 385, 383, 382, 571, 386, 381, 77]</t>
  </si>
  <si>
    <t xml:space="preserve">  veh 3: end_loc=77, cap_left=0, delivered=1, distance=6014.69</t>
  </si>
  <si>
    <t xml:space="preserve">  route: [77, 381, 386, 571, 382, 383, 385, 57, 85, 437, 84, 122, 198, 438, 129, 199, 260, 676, 87, 167, 159, 32, 31, 194, 222, 176, 553, 228, 160, 28, 213, 685, 504, 30, 695, 573, 572, 695, 30, 504, 685, 213, 28, 160, 228, 553, 176, 222, 194, 31, 32, 159, 167, 675, 676, 260, 199, 129, 438, 198, 122, 85, 57, 385, 383, 382, 571, 386, 381, 77]</t>
  </si>
  <si>
    <t>Total Inference Runtime: 98.93 s (1.65 min)</t>
  </si>
  <si>
    <t>[1, 1, 1, 1]</t>
  </si>
  <si>
    <r>
      <t>[</t>
    </r>
    <r>
      <rPr>
        <sz val="11"/>
        <color rgb="FF116644"/>
        <rFont val="Courier New"/>
        <family val="3"/>
      </rPr>
      <t>3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3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3</t>
    </r>
    <r>
      <rPr>
        <sz val="11"/>
        <color rgb="FF000000"/>
        <rFont val="Courier New"/>
        <family val="3"/>
      </rPr>
      <t xml:space="preserve">] </t>
    </r>
  </si>
  <si>
    <t>[464, 573, 607, 699]</t>
  </si>
  <si>
    <t>[SCENARIO 10] Depot=77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</si>
</sst>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  <font>
      <sz val="11"/>
      <color rgb="FF116644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0" fontId="0" fillId="3" borderId="0" xfId="0" applyNumberFormat="1" applyFill="1"/>
    <xf numFmtId="0" fontId="1" fillId="3" borderId="0" xfId="0" applyFont="1" applyFill="1"/>
    <xf numFmtId="0" fontId="0" fillId="2" borderId="0" xfId="0" applyFill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activeCell="E7" sqref="E7"/>
    </sheetView>
  </sheetViews>
  <sheetFormatPr defaultRowHeight="15" x14ac:dyDescent="0.25"/>
  <cols>
    <col min="1" max="1" width="10.85546875" bestFit="1" customWidth="1"/>
    <col min="3" max="3" width="13.5703125" bestFit="1" customWidth="1"/>
    <col min="4" max="4" width="13.5703125" customWidth="1"/>
    <col min="5" max="5" width="42.5703125" bestFit="1" customWidth="1"/>
    <col min="6" max="6" width="12.7109375" bestFit="1" customWidth="1"/>
    <col min="7" max="7" width="13.5703125" customWidth="1"/>
    <col min="8" max="8" width="19.7109375" bestFit="1" customWidth="1"/>
    <col min="9" max="9" width="19.28515625" bestFit="1" customWidth="1"/>
    <col min="10" max="12" width="17.42578125" bestFit="1" customWidth="1"/>
    <col min="13" max="13" width="17.42578125" customWidth="1"/>
    <col min="14" max="14" width="1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19</v>
      </c>
      <c r="G1" t="s">
        <v>27</v>
      </c>
      <c r="H1" t="s">
        <v>28</v>
      </c>
      <c r="I1" t="s">
        <v>3</v>
      </c>
      <c r="J1" t="s">
        <v>24</v>
      </c>
      <c r="K1" t="s">
        <v>25</v>
      </c>
      <c r="L1" t="s">
        <v>26</v>
      </c>
      <c r="M1" t="s">
        <v>29</v>
      </c>
      <c r="N1" t="s">
        <v>157</v>
      </c>
    </row>
    <row r="2" spans="1:14" x14ac:dyDescent="0.25">
      <c r="A2">
        <v>0</v>
      </c>
      <c r="B2">
        <v>141</v>
      </c>
      <c r="C2">
        <v>3</v>
      </c>
      <c r="D2" t="s">
        <v>20</v>
      </c>
      <c r="E2" t="s">
        <v>23</v>
      </c>
      <c r="F2">
        <v>248</v>
      </c>
      <c r="G2" s="1">
        <v>0.79</v>
      </c>
      <c r="H2" t="b">
        <v>1</v>
      </c>
      <c r="I2">
        <v>-70.876999999999995</v>
      </c>
      <c r="J2">
        <v>6690.04</v>
      </c>
      <c r="K2">
        <v>5723.3</v>
      </c>
      <c r="L2">
        <v>8298.56</v>
      </c>
      <c r="M2">
        <f t="shared" ref="M2:M22" si="0">J2+K2+L2</f>
        <v>20711.900000000001</v>
      </c>
    </row>
    <row r="3" spans="1:14" x14ac:dyDescent="0.25">
      <c r="A3">
        <v>1</v>
      </c>
      <c r="B3">
        <v>623</v>
      </c>
      <c r="C3">
        <v>3</v>
      </c>
      <c r="D3" t="s">
        <v>32</v>
      </c>
      <c r="E3" t="s">
        <v>31</v>
      </c>
      <c r="F3">
        <v>0</v>
      </c>
      <c r="G3" s="1">
        <v>1</v>
      </c>
      <c r="H3" t="b">
        <v>1</v>
      </c>
      <c r="I3">
        <v>-93.691999999999993</v>
      </c>
      <c r="J3">
        <v>8710.6</v>
      </c>
      <c r="K3">
        <v>9181.7000000000007</v>
      </c>
      <c r="L3">
        <f>8850.41</f>
        <v>8850.41</v>
      </c>
      <c r="M3">
        <f t="shared" si="0"/>
        <v>26742.710000000003</v>
      </c>
    </row>
    <row r="4" spans="1:14" x14ac:dyDescent="0.25">
      <c r="A4">
        <v>2</v>
      </c>
      <c r="B4">
        <v>7</v>
      </c>
      <c r="C4">
        <v>3</v>
      </c>
      <c r="D4" t="s">
        <v>20</v>
      </c>
      <c r="E4" t="s">
        <v>80</v>
      </c>
      <c r="F4">
        <v>174</v>
      </c>
      <c r="G4" s="1">
        <v>0.85299999999999998</v>
      </c>
      <c r="H4" t="b">
        <v>1</v>
      </c>
      <c r="I4">
        <v>-67.908000000000001</v>
      </c>
      <c r="J4">
        <v>6165.98</v>
      </c>
      <c r="K4">
        <v>6349.73</v>
      </c>
      <c r="L4">
        <v>5631.26</v>
      </c>
      <c r="M4">
        <f t="shared" si="0"/>
        <v>18146.97</v>
      </c>
    </row>
    <row r="5" spans="1:14" x14ac:dyDescent="0.25">
      <c r="A5">
        <v>3</v>
      </c>
      <c r="B5">
        <v>653</v>
      </c>
      <c r="C5">
        <v>3</v>
      </c>
      <c r="D5" t="s">
        <v>32</v>
      </c>
      <c r="E5" t="s">
        <v>155</v>
      </c>
      <c r="F5">
        <v>0</v>
      </c>
      <c r="G5" s="1">
        <v>1</v>
      </c>
      <c r="H5" t="b">
        <v>1</v>
      </c>
      <c r="I5">
        <v>-91.73</v>
      </c>
      <c r="J5">
        <v>5905.46</v>
      </c>
      <c r="K5">
        <v>6620.79</v>
      </c>
      <c r="L5">
        <v>12105.37</v>
      </c>
      <c r="M5">
        <f t="shared" si="0"/>
        <v>24631.620000000003</v>
      </c>
    </row>
    <row r="6" spans="1:14" x14ac:dyDescent="0.25">
      <c r="A6">
        <v>4</v>
      </c>
      <c r="B6">
        <v>223</v>
      </c>
      <c r="C6">
        <v>3</v>
      </c>
      <c r="D6" t="s">
        <v>30</v>
      </c>
      <c r="E6" t="s">
        <v>130</v>
      </c>
      <c r="F6">
        <v>168</v>
      </c>
      <c r="G6" s="1">
        <v>0.85799999999999998</v>
      </c>
      <c r="H6" t="b">
        <v>1</v>
      </c>
      <c r="I6">
        <v>-22.93</v>
      </c>
      <c r="J6">
        <v>5931.33</v>
      </c>
      <c r="K6">
        <v>4261.3599999999997</v>
      </c>
      <c r="L6">
        <v>0</v>
      </c>
      <c r="M6">
        <f t="shared" si="0"/>
        <v>10192.689999999999</v>
      </c>
    </row>
    <row r="7" spans="1:14" x14ac:dyDescent="0.25">
      <c r="A7">
        <v>5</v>
      </c>
      <c r="B7">
        <v>77</v>
      </c>
      <c r="C7">
        <v>3</v>
      </c>
      <c r="D7" t="s">
        <v>153</v>
      </c>
      <c r="E7" t="s">
        <v>154</v>
      </c>
      <c r="F7">
        <v>158</v>
      </c>
      <c r="G7" s="1">
        <v>0.86599999999999999</v>
      </c>
      <c r="H7" t="b">
        <v>1</v>
      </c>
      <c r="I7">
        <v>-53.883000000000003</v>
      </c>
      <c r="J7">
        <v>3637.78</v>
      </c>
      <c r="K7">
        <v>5091.3500000000004</v>
      </c>
      <c r="L7">
        <v>6185.26</v>
      </c>
      <c r="M7">
        <f t="shared" si="0"/>
        <v>14914.390000000001</v>
      </c>
    </row>
    <row r="8" spans="1:14" x14ac:dyDescent="0.25">
      <c r="A8">
        <v>6</v>
      </c>
      <c r="B8">
        <v>604</v>
      </c>
      <c r="C8">
        <v>3</v>
      </c>
      <c r="D8" t="s">
        <v>187</v>
      </c>
      <c r="E8" t="s">
        <v>156</v>
      </c>
      <c r="F8">
        <v>123</v>
      </c>
      <c r="G8" s="1">
        <v>0.89600000000000002</v>
      </c>
      <c r="H8" s="2" t="b">
        <v>0</v>
      </c>
      <c r="I8">
        <v>-204.404</v>
      </c>
      <c r="J8">
        <v>4561.9399999999996</v>
      </c>
      <c r="K8">
        <v>7657.67</v>
      </c>
      <c r="L8" s="2">
        <v>41048.92</v>
      </c>
      <c r="M8">
        <f t="shared" si="0"/>
        <v>53268.53</v>
      </c>
      <c r="N8">
        <v>785</v>
      </c>
    </row>
    <row r="9" spans="1:14" x14ac:dyDescent="0.25">
      <c r="A9">
        <v>7</v>
      </c>
      <c r="B9">
        <v>295</v>
      </c>
      <c r="C9">
        <v>3</v>
      </c>
      <c r="D9" t="s">
        <v>209</v>
      </c>
      <c r="E9" t="s">
        <v>208</v>
      </c>
      <c r="F9">
        <v>149</v>
      </c>
      <c r="G9" s="1">
        <v>0.874</v>
      </c>
      <c r="H9" t="b">
        <v>1</v>
      </c>
      <c r="I9">
        <v>-32.081000000000003</v>
      </c>
      <c r="J9">
        <v>1649.78</v>
      </c>
      <c r="K9">
        <v>4342.9799999999996</v>
      </c>
      <c r="L9">
        <v>6277.23</v>
      </c>
      <c r="M9">
        <f t="shared" si="0"/>
        <v>12269.989999999998</v>
      </c>
    </row>
    <row r="10" spans="1:14" x14ac:dyDescent="0.25">
      <c r="A10">
        <v>8</v>
      </c>
      <c r="B10">
        <v>461</v>
      </c>
      <c r="C10">
        <v>3</v>
      </c>
      <c r="D10" t="s">
        <v>187</v>
      </c>
      <c r="E10" t="s">
        <v>234</v>
      </c>
      <c r="F10">
        <v>390</v>
      </c>
      <c r="G10" s="1">
        <v>0.66900000000000004</v>
      </c>
      <c r="H10" s="2" t="b">
        <v>0</v>
      </c>
      <c r="I10">
        <v>-412.13499999999999</v>
      </c>
      <c r="J10">
        <v>18916.240000000002</v>
      </c>
      <c r="K10">
        <v>12351.73</v>
      </c>
      <c r="L10" s="2">
        <f>55692.08</f>
        <v>55692.08</v>
      </c>
      <c r="M10">
        <f t="shared" si="0"/>
        <v>86960.05</v>
      </c>
      <c r="N10">
        <v>788</v>
      </c>
    </row>
    <row r="11" spans="1:14" x14ac:dyDescent="0.25">
      <c r="A11">
        <v>9</v>
      </c>
      <c r="B11">
        <v>539</v>
      </c>
      <c r="C11">
        <v>3</v>
      </c>
      <c r="D11" t="s">
        <v>257</v>
      </c>
      <c r="E11" t="s">
        <v>258</v>
      </c>
      <c r="F11">
        <v>386</v>
      </c>
      <c r="G11" s="1">
        <v>0.67300000000000004</v>
      </c>
      <c r="H11" t="b">
        <v>1</v>
      </c>
      <c r="I11">
        <v>-64.772999999999996</v>
      </c>
      <c r="J11">
        <v>3248.1</v>
      </c>
      <c r="K11">
        <v>5618.77</v>
      </c>
      <c r="L11">
        <v>6630.06</v>
      </c>
      <c r="M11">
        <f t="shared" si="0"/>
        <v>15496.93</v>
      </c>
    </row>
    <row r="12" spans="1:14" x14ac:dyDescent="0.25">
      <c r="A12">
        <v>10</v>
      </c>
      <c r="B12">
        <v>428</v>
      </c>
      <c r="C12">
        <v>3</v>
      </c>
      <c r="D12" t="s">
        <v>209</v>
      </c>
      <c r="E12" t="s">
        <v>259</v>
      </c>
      <c r="F12">
        <v>120</v>
      </c>
      <c r="G12" s="1">
        <v>0.89800000000000002</v>
      </c>
      <c r="H12" t="b">
        <v>1</v>
      </c>
      <c r="I12">
        <v>-55.427999999999997</v>
      </c>
      <c r="J12">
        <v>2751.03</v>
      </c>
      <c r="K12">
        <v>4861.6000000000004</v>
      </c>
      <c r="L12">
        <v>8275.74</v>
      </c>
      <c r="M12">
        <f t="shared" si="0"/>
        <v>15888.37</v>
      </c>
    </row>
    <row r="13" spans="1:14" x14ac:dyDescent="0.25">
      <c r="A13">
        <v>11</v>
      </c>
      <c r="B13">
        <v>564</v>
      </c>
      <c r="C13">
        <v>3</v>
      </c>
      <c r="D13" t="s">
        <v>153</v>
      </c>
      <c r="E13" s="1" t="s">
        <v>298</v>
      </c>
      <c r="F13">
        <v>164</v>
      </c>
      <c r="G13" s="1">
        <v>0.86099999999999999</v>
      </c>
      <c r="H13" t="b">
        <v>1</v>
      </c>
      <c r="I13">
        <v>-59.542000000000002</v>
      </c>
      <c r="J13">
        <f>6937.62</f>
        <v>6937.62</v>
      </c>
      <c r="K13">
        <v>6381.02</v>
      </c>
      <c r="L13">
        <v>7444.83</v>
      </c>
      <c r="M13">
        <f t="shared" si="0"/>
        <v>20763.47</v>
      </c>
    </row>
    <row r="14" spans="1:14" x14ac:dyDescent="0.25">
      <c r="A14">
        <v>12</v>
      </c>
      <c r="B14">
        <v>401</v>
      </c>
      <c r="C14">
        <v>2</v>
      </c>
      <c r="D14" t="s">
        <v>322</v>
      </c>
      <c r="E14" t="s">
        <v>321</v>
      </c>
      <c r="F14">
        <v>134</v>
      </c>
      <c r="G14" s="1">
        <v>0.88600000000000001</v>
      </c>
      <c r="H14" t="b">
        <v>1</v>
      </c>
      <c r="I14">
        <v>-82.013000000000005</v>
      </c>
      <c r="J14">
        <v>8333.09</v>
      </c>
      <c r="K14">
        <v>16485.7</v>
      </c>
      <c r="L14">
        <v>0</v>
      </c>
      <c r="M14">
        <f t="shared" si="0"/>
        <v>24818.79</v>
      </c>
    </row>
    <row r="15" spans="1:14" x14ac:dyDescent="0.25">
      <c r="A15">
        <v>13</v>
      </c>
      <c r="B15">
        <v>450</v>
      </c>
      <c r="C15">
        <v>2</v>
      </c>
      <c r="D15" t="s">
        <v>322</v>
      </c>
      <c r="E15" t="s">
        <v>341</v>
      </c>
      <c r="F15">
        <v>151</v>
      </c>
      <c r="G15" s="1">
        <v>0.872</v>
      </c>
      <c r="H15" t="b">
        <v>1</v>
      </c>
      <c r="I15">
        <v>77.546000000000006</v>
      </c>
      <c r="J15">
        <v>11915.36</v>
      </c>
      <c r="K15">
        <v>15494.12</v>
      </c>
      <c r="L15">
        <v>0</v>
      </c>
      <c r="M15">
        <f t="shared" si="0"/>
        <v>27409.480000000003</v>
      </c>
    </row>
    <row r="16" spans="1:14" x14ac:dyDescent="0.25">
      <c r="A16">
        <v>14</v>
      </c>
      <c r="B16">
        <v>7</v>
      </c>
      <c r="C16">
        <v>2</v>
      </c>
      <c r="D16" t="s">
        <v>362</v>
      </c>
      <c r="E16" t="s">
        <v>361</v>
      </c>
      <c r="F16">
        <v>175</v>
      </c>
      <c r="G16" s="1">
        <v>0.85199999999999998</v>
      </c>
      <c r="H16" t="b">
        <v>1</v>
      </c>
      <c r="I16">
        <v>-35.408000000000001</v>
      </c>
      <c r="J16">
        <v>5619.71</v>
      </c>
      <c r="K16">
        <v>11509.44</v>
      </c>
      <c r="L16">
        <v>0</v>
      </c>
      <c r="M16">
        <f t="shared" si="0"/>
        <v>17129.150000000001</v>
      </c>
    </row>
    <row r="17" spans="1:14" x14ac:dyDescent="0.25">
      <c r="A17">
        <v>15</v>
      </c>
      <c r="B17">
        <v>623</v>
      </c>
      <c r="C17">
        <v>2</v>
      </c>
      <c r="D17" t="s">
        <v>362</v>
      </c>
      <c r="E17" t="s">
        <v>381</v>
      </c>
      <c r="F17">
        <v>155</v>
      </c>
      <c r="G17" s="1">
        <v>0.86899999999999999</v>
      </c>
      <c r="H17" t="b">
        <v>1</v>
      </c>
      <c r="I17">
        <v>-45.975000000000001</v>
      </c>
      <c r="J17">
        <v>10297.65</v>
      </c>
      <c r="K17">
        <v>14824.34</v>
      </c>
      <c r="L17">
        <v>0</v>
      </c>
      <c r="M17">
        <f t="shared" si="0"/>
        <v>25121.989999999998</v>
      </c>
    </row>
    <row r="18" spans="1:14" x14ac:dyDescent="0.25">
      <c r="A18">
        <v>16</v>
      </c>
      <c r="B18">
        <v>652</v>
      </c>
      <c r="C18">
        <v>2</v>
      </c>
      <c r="D18" t="s">
        <v>382</v>
      </c>
      <c r="E18" t="s">
        <v>383</v>
      </c>
      <c r="F18">
        <v>150</v>
      </c>
      <c r="G18" s="1">
        <v>0.873</v>
      </c>
      <c r="H18" t="b">
        <v>1</v>
      </c>
      <c r="I18">
        <v>-41.628999999999998</v>
      </c>
      <c r="J18">
        <v>5255.44</v>
      </c>
      <c r="K18">
        <v>9998.77</v>
      </c>
      <c r="L18">
        <v>0</v>
      </c>
      <c r="M18">
        <f t="shared" si="0"/>
        <v>15254.21</v>
      </c>
    </row>
    <row r="19" spans="1:14" x14ac:dyDescent="0.25">
      <c r="A19">
        <v>17</v>
      </c>
      <c r="B19">
        <v>113</v>
      </c>
      <c r="C19">
        <v>2</v>
      </c>
      <c r="D19" t="s">
        <v>411</v>
      </c>
      <c r="E19" t="s">
        <v>408</v>
      </c>
      <c r="F19">
        <v>465</v>
      </c>
      <c r="G19" s="1">
        <v>0.63600000000000001</v>
      </c>
      <c r="H19" s="2" t="b">
        <v>0</v>
      </c>
      <c r="I19">
        <v>-349.52600000000001</v>
      </c>
      <c r="J19">
        <v>18653</v>
      </c>
      <c r="K19">
        <v>59357.93</v>
      </c>
      <c r="L19">
        <v>0</v>
      </c>
      <c r="M19">
        <f t="shared" si="0"/>
        <v>78010.929999999993</v>
      </c>
      <c r="N19" t="s">
        <v>412</v>
      </c>
    </row>
    <row r="20" spans="1:14" x14ac:dyDescent="0.25">
      <c r="A20">
        <v>18</v>
      </c>
      <c r="B20">
        <v>267</v>
      </c>
      <c r="C20">
        <v>2</v>
      </c>
      <c r="D20" t="s">
        <v>409</v>
      </c>
      <c r="E20" t="s">
        <v>433</v>
      </c>
      <c r="F20">
        <v>429</v>
      </c>
      <c r="G20" s="1">
        <v>0.63800000000000001</v>
      </c>
      <c r="H20" s="2" t="b">
        <v>0</v>
      </c>
      <c r="I20">
        <v>-153.31800000000001</v>
      </c>
      <c r="J20">
        <v>7607.41</v>
      </c>
      <c r="K20">
        <v>25799.3</v>
      </c>
      <c r="L20">
        <v>0</v>
      </c>
      <c r="M20">
        <f t="shared" si="0"/>
        <v>33406.71</v>
      </c>
      <c r="N20" t="s">
        <v>410</v>
      </c>
    </row>
    <row r="21" spans="1:14" x14ac:dyDescent="0.25">
      <c r="A21">
        <v>19</v>
      </c>
      <c r="B21">
        <v>502</v>
      </c>
      <c r="C21">
        <v>3</v>
      </c>
      <c r="D21" t="s">
        <v>20</v>
      </c>
      <c r="E21" t="s">
        <v>961</v>
      </c>
      <c r="F21">
        <v>155</v>
      </c>
      <c r="G21" s="1">
        <v>0.86899999999999999</v>
      </c>
      <c r="H21" t="b">
        <v>1</v>
      </c>
      <c r="I21">
        <v>-119.982</v>
      </c>
      <c r="J21">
        <v>10664.38</v>
      </c>
      <c r="K21">
        <v>11878.89</v>
      </c>
      <c r="L21">
        <v>6446.74</v>
      </c>
      <c r="M21">
        <f t="shared" si="0"/>
        <v>28990.009999999995</v>
      </c>
    </row>
    <row r="22" spans="1:14" x14ac:dyDescent="0.25">
      <c r="A22">
        <v>20</v>
      </c>
      <c r="B22">
        <v>261</v>
      </c>
      <c r="C22">
        <v>3</v>
      </c>
      <c r="D22" t="s">
        <v>187</v>
      </c>
      <c r="E22" t="s">
        <v>981</v>
      </c>
      <c r="F22">
        <v>117</v>
      </c>
      <c r="G22" s="1">
        <v>0.90100000000000002</v>
      </c>
      <c r="H22" s="2" t="b">
        <v>0</v>
      </c>
      <c r="I22">
        <v>-259.03399999999999</v>
      </c>
      <c r="J22">
        <v>7749.76</v>
      </c>
      <c r="K22">
        <v>8381.82</v>
      </c>
      <c r="L22">
        <v>39220.85</v>
      </c>
      <c r="M22">
        <f t="shared" si="0"/>
        <v>55352.43</v>
      </c>
      <c r="N22">
        <v>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75D0-7CE9-43CD-9CA1-192927CB5CF1}">
  <dimension ref="A1:N259"/>
  <sheetViews>
    <sheetView topLeftCell="A237" workbookViewId="0">
      <selection activeCell="E263" sqref="E263"/>
    </sheetView>
  </sheetViews>
  <sheetFormatPr defaultRowHeight="15" x14ac:dyDescent="0.25"/>
  <cols>
    <col min="3" max="3" width="13.5703125" bestFit="1" customWidth="1"/>
    <col min="4" max="4" width="10" bestFit="1" customWidth="1"/>
    <col min="5" max="5" width="26" bestFit="1" customWidth="1"/>
    <col min="6" max="6" width="12.7109375" bestFit="1" customWidth="1"/>
    <col min="7" max="7" width="10.42578125" bestFit="1" customWidth="1"/>
    <col min="8" max="9" width="10.42578125" customWidth="1"/>
    <col min="10" max="10" width="7" bestFit="1" customWidth="1"/>
    <col min="11" max="11" width="19.28515625" bestFit="1" customWidth="1"/>
    <col min="15" max="15" width="13.42578125" bestFit="1" customWidth="1"/>
    <col min="16" max="16" width="1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19</v>
      </c>
      <c r="G1" t="s">
        <v>27</v>
      </c>
    </row>
    <row r="2" spans="1:14" x14ac:dyDescent="0.25">
      <c r="A2">
        <v>1</v>
      </c>
      <c r="B2">
        <v>313</v>
      </c>
      <c r="C2">
        <v>3</v>
      </c>
      <c r="D2" t="s">
        <v>32</v>
      </c>
      <c r="E2" t="s">
        <v>500</v>
      </c>
      <c r="F2">
        <v>138</v>
      </c>
      <c r="G2" s="1">
        <v>0.88300000000000001</v>
      </c>
    </row>
    <row r="3" spans="1:14" x14ac:dyDescent="0.25">
      <c r="F3">
        <v>60</v>
      </c>
      <c r="G3" s="1">
        <v>0.83199999999999996</v>
      </c>
    </row>
    <row r="4" spans="1:14" x14ac:dyDescent="0.25">
      <c r="F4">
        <v>1</v>
      </c>
      <c r="G4" s="1">
        <v>0.83099999999999996</v>
      </c>
      <c r="J4" s="2"/>
      <c r="N4" s="2"/>
    </row>
    <row r="5" spans="1:14" x14ac:dyDescent="0.25">
      <c r="A5" t="s">
        <v>436</v>
      </c>
    </row>
    <row r="6" spans="1:14" x14ac:dyDescent="0.25">
      <c r="A6" t="s">
        <v>490</v>
      </c>
    </row>
    <row r="7" spans="1:14" x14ac:dyDescent="0.25">
      <c r="A7" t="s">
        <v>491</v>
      </c>
    </row>
    <row r="8" spans="1:14" x14ac:dyDescent="0.25">
      <c r="A8" t="s">
        <v>492</v>
      </c>
    </row>
    <row r="9" spans="1:14" x14ac:dyDescent="0.25">
      <c r="A9" t="s">
        <v>493</v>
      </c>
    </row>
    <row r="10" spans="1:14" x14ac:dyDescent="0.25">
      <c r="A10" t="s">
        <v>437</v>
      </c>
    </row>
    <row r="11" spans="1:14" x14ac:dyDescent="0.25">
      <c r="A11" t="s">
        <v>490</v>
      </c>
    </row>
    <row r="12" spans="1:14" x14ac:dyDescent="0.25">
      <c r="A12" t="s">
        <v>491</v>
      </c>
    </row>
    <row r="13" spans="1:14" x14ac:dyDescent="0.25">
      <c r="A13" t="s">
        <v>494</v>
      </c>
    </row>
    <row r="14" spans="1:14" x14ac:dyDescent="0.25">
      <c r="A14" t="s">
        <v>495</v>
      </c>
    </row>
    <row r="15" spans="1:14" x14ac:dyDescent="0.25">
      <c r="A15" t="s">
        <v>438</v>
      </c>
    </row>
    <row r="16" spans="1:14" x14ac:dyDescent="0.25">
      <c r="A16" t="s">
        <v>490</v>
      </c>
    </row>
    <row r="17" spans="1:7" x14ac:dyDescent="0.25">
      <c r="A17" t="s">
        <v>496</v>
      </c>
    </row>
    <row r="18" spans="1:7" x14ac:dyDescent="0.25">
      <c r="A18" t="s">
        <v>497</v>
      </c>
    </row>
    <row r="19" spans="1:7" x14ac:dyDescent="0.25">
      <c r="A19" t="s">
        <v>498</v>
      </c>
    </row>
    <row r="22" spans="1:7" x14ac:dyDescent="0.25">
      <c r="A22" s="3"/>
      <c r="B22" s="3"/>
      <c r="C22" s="3"/>
      <c r="D22" s="3"/>
      <c r="E22" s="3"/>
      <c r="F22" s="3"/>
      <c r="G22" s="3"/>
    </row>
    <row r="25" spans="1:7" x14ac:dyDescent="0.25">
      <c r="A25" t="s">
        <v>0</v>
      </c>
      <c r="B25" t="s">
        <v>1</v>
      </c>
      <c r="C25" t="s">
        <v>2</v>
      </c>
      <c r="D25" t="s">
        <v>21</v>
      </c>
      <c r="E25" t="s">
        <v>22</v>
      </c>
      <c r="F25" t="s">
        <v>19</v>
      </c>
      <c r="G25" t="s">
        <v>27</v>
      </c>
    </row>
    <row r="26" spans="1:7" x14ac:dyDescent="0.25">
      <c r="A26">
        <v>2</v>
      </c>
      <c r="B26">
        <v>324</v>
      </c>
      <c r="C26">
        <v>3</v>
      </c>
      <c r="D26" t="s">
        <v>209</v>
      </c>
      <c r="E26" t="s">
        <v>551</v>
      </c>
      <c r="F26">
        <v>223</v>
      </c>
      <c r="G26" s="1">
        <v>0.81100000000000005</v>
      </c>
    </row>
    <row r="27" spans="1:7" x14ac:dyDescent="0.25">
      <c r="F27">
        <v>59</v>
      </c>
      <c r="G27" s="1">
        <v>0.76100000000000001</v>
      </c>
    </row>
    <row r="28" spans="1:7" x14ac:dyDescent="0.25">
      <c r="F28">
        <v>0</v>
      </c>
      <c r="G28" s="1">
        <v>0.76100000000000001</v>
      </c>
    </row>
    <row r="31" spans="1:7" x14ac:dyDescent="0.25">
      <c r="A31" t="s">
        <v>435</v>
      </c>
    </row>
    <row r="32" spans="1:7" x14ac:dyDescent="0.25">
      <c r="A32" t="s">
        <v>436</v>
      </c>
    </row>
    <row r="33" spans="1:7" x14ac:dyDescent="0.25">
      <c r="A33" t="s">
        <v>540</v>
      </c>
    </row>
    <row r="34" spans="1:7" x14ac:dyDescent="0.25">
      <c r="A34" t="s">
        <v>541</v>
      </c>
    </row>
    <row r="35" spans="1:7" x14ac:dyDescent="0.25">
      <c r="A35" t="s">
        <v>542</v>
      </c>
    </row>
    <row r="36" spans="1:7" x14ac:dyDescent="0.25">
      <c r="A36" t="s">
        <v>543</v>
      </c>
    </row>
    <row r="37" spans="1:7" x14ac:dyDescent="0.25">
      <c r="A37" t="s">
        <v>437</v>
      </c>
    </row>
    <row r="38" spans="1:7" x14ac:dyDescent="0.25">
      <c r="A38" t="s">
        <v>540</v>
      </c>
    </row>
    <row r="39" spans="1:7" x14ac:dyDescent="0.25">
      <c r="A39" t="s">
        <v>544</v>
      </c>
    </row>
    <row r="40" spans="1:7" x14ac:dyDescent="0.25">
      <c r="A40" t="s">
        <v>545</v>
      </c>
    </row>
    <row r="41" spans="1:7" x14ac:dyDescent="0.25">
      <c r="A41" t="s">
        <v>546</v>
      </c>
    </row>
    <row r="42" spans="1:7" x14ac:dyDescent="0.25">
      <c r="A42" t="s">
        <v>438</v>
      </c>
    </row>
    <row r="43" spans="1:7" x14ac:dyDescent="0.25">
      <c r="A43" t="s">
        <v>540</v>
      </c>
    </row>
    <row r="44" spans="1:7" x14ac:dyDescent="0.25">
      <c r="A44" t="s">
        <v>547</v>
      </c>
    </row>
    <row r="45" spans="1:7" x14ac:dyDescent="0.25">
      <c r="A45" t="s">
        <v>548</v>
      </c>
    </row>
    <row r="46" spans="1:7" x14ac:dyDescent="0.25">
      <c r="A46" t="s">
        <v>549</v>
      </c>
    </row>
    <row r="48" spans="1:7" x14ac:dyDescent="0.25">
      <c r="A48" s="3"/>
      <c r="B48" s="3"/>
      <c r="C48" s="3"/>
      <c r="D48" s="3"/>
      <c r="E48" s="3"/>
      <c r="F48" s="3"/>
      <c r="G48" s="3"/>
    </row>
    <row r="50" spans="1:7" x14ac:dyDescent="0.25">
      <c r="A50" t="s">
        <v>0</v>
      </c>
      <c r="B50" t="s">
        <v>1</v>
      </c>
      <c r="C50" t="s">
        <v>2</v>
      </c>
      <c r="D50" t="s">
        <v>21</v>
      </c>
      <c r="E50" t="s">
        <v>22</v>
      </c>
      <c r="F50" t="s">
        <v>19</v>
      </c>
      <c r="G50" t="s">
        <v>27</v>
      </c>
    </row>
    <row r="51" spans="1:7" x14ac:dyDescent="0.25">
      <c r="A51">
        <v>3</v>
      </c>
      <c r="B51">
        <v>183</v>
      </c>
      <c r="C51">
        <v>3</v>
      </c>
      <c r="D51" t="s">
        <v>20</v>
      </c>
      <c r="E51" t="s">
        <v>604</v>
      </c>
      <c r="F51">
        <v>115</v>
      </c>
      <c r="G51" s="1">
        <v>0.90300000000000002</v>
      </c>
    </row>
    <row r="52" spans="1:7" x14ac:dyDescent="0.25">
      <c r="F52">
        <v>60</v>
      </c>
      <c r="G52" s="1">
        <v>0.85199999999999998</v>
      </c>
    </row>
    <row r="53" spans="1:7" x14ac:dyDescent="0.25">
      <c r="F53">
        <v>7</v>
      </c>
      <c r="G53" s="1">
        <v>0.84599999999999997</v>
      </c>
    </row>
    <row r="55" spans="1:7" x14ac:dyDescent="0.25">
      <c r="A55" t="s">
        <v>435</v>
      </c>
    </row>
    <row r="56" spans="1:7" x14ac:dyDescent="0.25">
      <c r="A56" t="s">
        <v>436</v>
      </c>
    </row>
    <row r="57" spans="1:7" x14ac:dyDescent="0.25">
      <c r="A57" t="s">
        <v>592</v>
      </c>
    </row>
    <row r="58" spans="1:7" x14ac:dyDescent="0.25">
      <c r="A58" t="s">
        <v>593</v>
      </c>
    </row>
    <row r="59" spans="1:7" x14ac:dyDescent="0.25">
      <c r="A59" t="s">
        <v>594</v>
      </c>
    </row>
    <row r="60" spans="1:7" x14ac:dyDescent="0.25">
      <c r="A60" t="s">
        <v>595</v>
      </c>
    </row>
    <row r="61" spans="1:7" x14ac:dyDescent="0.25">
      <c r="A61" t="s">
        <v>437</v>
      </c>
    </row>
    <row r="62" spans="1:7" x14ac:dyDescent="0.25">
      <c r="A62" t="s">
        <v>592</v>
      </c>
    </row>
    <row r="63" spans="1:7" x14ac:dyDescent="0.25">
      <c r="A63" t="s">
        <v>596</v>
      </c>
    </row>
    <row r="64" spans="1:7" x14ac:dyDescent="0.25">
      <c r="A64" t="s">
        <v>597</v>
      </c>
    </row>
    <row r="65" spans="1:7" x14ac:dyDescent="0.25">
      <c r="A65" t="s">
        <v>598</v>
      </c>
    </row>
    <row r="66" spans="1:7" x14ac:dyDescent="0.25">
      <c r="A66" t="s">
        <v>438</v>
      </c>
    </row>
    <row r="67" spans="1:7" x14ac:dyDescent="0.25">
      <c r="A67" t="s">
        <v>592</v>
      </c>
    </row>
    <row r="68" spans="1:7" x14ac:dyDescent="0.25">
      <c r="A68" t="s">
        <v>599</v>
      </c>
    </row>
    <row r="69" spans="1:7" x14ac:dyDescent="0.25">
      <c r="A69" t="s">
        <v>600</v>
      </c>
    </row>
    <row r="70" spans="1:7" x14ac:dyDescent="0.25">
      <c r="A70" t="s">
        <v>601</v>
      </c>
    </row>
    <row r="71" spans="1:7" x14ac:dyDescent="0.25">
      <c r="A71" t="s">
        <v>602</v>
      </c>
    </row>
    <row r="73" spans="1:7" x14ac:dyDescent="0.25">
      <c r="A73" s="3"/>
      <c r="B73" s="3"/>
      <c r="C73" s="3"/>
      <c r="D73" s="3"/>
      <c r="E73" s="3"/>
      <c r="F73" s="3"/>
      <c r="G73" s="3"/>
    </row>
    <row r="75" spans="1:7" x14ac:dyDescent="0.25">
      <c r="A75" t="s">
        <v>0</v>
      </c>
      <c r="B75" t="s">
        <v>1</v>
      </c>
      <c r="C75" t="s">
        <v>2</v>
      </c>
      <c r="D75" t="s">
        <v>21</v>
      </c>
      <c r="E75" t="s">
        <v>22</v>
      </c>
      <c r="F75" t="s">
        <v>19</v>
      </c>
      <c r="G75" t="s">
        <v>27</v>
      </c>
    </row>
    <row r="76" spans="1:7" x14ac:dyDescent="0.25">
      <c r="A76">
        <v>3</v>
      </c>
      <c r="B76">
        <v>183</v>
      </c>
      <c r="C76">
        <v>3</v>
      </c>
      <c r="D76" t="s">
        <v>20</v>
      </c>
      <c r="E76" t="s">
        <v>604</v>
      </c>
      <c r="F76">
        <v>115</v>
      </c>
      <c r="G76" s="1">
        <v>0.90300000000000002</v>
      </c>
    </row>
    <row r="77" spans="1:7" x14ac:dyDescent="0.25">
      <c r="F77">
        <v>60</v>
      </c>
      <c r="G77" s="1">
        <v>0.85199999999999998</v>
      </c>
    </row>
    <row r="78" spans="1:7" x14ac:dyDescent="0.25">
      <c r="F78">
        <v>7</v>
      </c>
      <c r="G78" s="1">
        <v>0.84599999999999997</v>
      </c>
    </row>
    <row r="79" spans="1:7" x14ac:dyDescent="0.25">
      <c r="A79" t="s">
        <v>435</v>
      </c>
    </row>
    <row r="80" spans="1:7" x14ac:dyDescent="0.25">
      <c r="A80" t="s">
        <v>436</v>
      </c>
    </row>
    <row r="81" spans="1:7" x14ac:dyDescent="0.25">
      <c r="A81" t="s">
        <v>592</v>
      </c>
    </row>
    <row r="82" spans="1:7" x14ac:dyDescent="0.25">
      <c r="A82" t="s">
        <v>593</v>
      </c>
    </row>
    <row r="83" spans="1:7" x14ac:dyDescent="0.25">
      <c r="A83" t="s">
        <v>594</v>
      </c>
    </row>
    <row r="84" spans="1:7" x14ac:dyDescent="0.25">
      <c r="A84" t="s">
        <v>595</v>
      </c>
    </row>
    <row r="85" spans="1:7" x14ac:dyDescent="0.25">
      <c r="A85" t="s">
        <v>437</v>
      </c>
    </row>
    <row r="86" spans="1:7" x14ac:dyDescent="0.25">
      <c r="A86" t="s">
        <v>592</v>
      </c>
    </row>
    <row r="87" spans="1:7" x14ac:dyDescent="0.25">
      <c r="A87" t="s">
        <v>596</v>
      </c>
    </row>
    <row r="88" spans="1:7" x14ac:dyDescent="0.25">
      <c r="A88" t="s">
        <v>597</v>
      </c>
    </row>
    <row r="89" spans="1:7" x14ac:dyDescent="0.25">
      <c r="A89" t="s">
        <v>598</v>
      </c>
    </row>
    <row r="90" spans="1:7" x14ac:dyDescent="0.25">
      <c r="A90" t="s">
        <v>438</v>
      </c>
    </row>
    <row r="91" spans="1:7" x14ac:dyDescent="0.25">
      <c r="A91" t="s">
        <v>592</v>
      </c>
    </row>
    <row r="92" spans="1:7" x14ac:dyDescent="0.25">
      <c r="A92" t="s">
        <v>599</v>
      </c>
    </row>
    <row r="93" spans="1:7" x14ac:dyDescent="0.25">
      <c r="A93" t="s">
        <v>600</v>
      </c>
    </row>
    <row r="94" spans="1:7" x14ac:dyDescent="0.25">
      <c r="A94" t="s">
        <v>601</v>
      </c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t="s">
        <v>0</v>
      </c>
      <c r="B96" t="s">
        <v>1</v>
      </c>
      <c r="C96" t="s">
        <v>2</v>
      </c>
      <c r="D96" t="s">
        <v>21</v>
      </c>
      <c r="E96" t="s">
        <v>22</v>
      </c>
      <c r="F96" t="s">
        <v>19</v>
      </c>
      <c r="G96" t="s">
        <v>27</v>
      </c>
    </row>
    <row r="97" spans="1:7" s="4" customFormat="1" x14ac:dyDescent="0.25">
      <c r="A97" s="4">
        <v>4</v>
      </c>
      <c r="B97" s="4">
        <v>69</v>
      </c>
      <c r="C97" s="4">
        <v>3</v>
      </c>
      <c r="D97" s="4" t="s">
        <v>153</v>
      </c>
      <c r="E97" s="4" t="s">
        <v>750</v>
      </c>
      <c r="F97" s="4">
        <v>119</v>
      </c>
      <c r="G97" s="5">
        <v>0.89900000000000002</v>
      </c>
    </row>
    <row r="98" spans="1:7" s="6" customFormat="1" x14ac:dyDescent="0.25">
      <c r="A98" s="4"/>
      <c r="B98" s="4"/>
      <c r="C98" s="4"/>
      <c r="D98" s="4"/>
      <c r="E98" s="4"/>
      <c r="F98" s="4">
        <v>61</v>
      </c>
      <c r="G98" s="5">
        <v>0.85199999999999998</v>
      </c>
    </row>
    <row r="99" spans="1:7" x14ac:dyDescent="0.25">
      <c r="F99">
        <v>2</v>
      </c>
      <c r="G99" s="1">
        <v>0.84699999999999998</v>
      </c>
    </row>
    <row r="103" spans="1:7" x14ac:dyDescent="0.25">
      <c r="A103" t="s">
        <v>435</v>
      </c>
    </row>
    <row r="104" spans="1:7" x14ac:dyDescent="0.25">
      <c r="A104" t="s">
        <v>436</v>
      </c>
    </row>
    <row r="105" spans="1:7" x14ac:dyDescent="0.25">
      <c r="A105" t="s">
        <v>642</v>
      </c>
    </row>
    <row r="106" spans="1:7" x14ac:dyDescent="0.25">
      <c r="A106" t="s">
        <v>643</v>
      </c>
    </row>
    <row r="107" spans="1:7" x14ac:dyDescent="0.25">
      <c r="A107" t="s">
        <v>644</v>
      </c>
    </row>
    <row r="108" spans="1:7" x14ac:dyDescent="0.25">
      <c r="A108" t="s">
        <v>645</v>
      </c>
    </row>
    <row r="109" spans="1:7" x14ac:dyDescent="0.25">
      <c r="A109" t="s">
        <v>437</v>
      </c>
    </row>
    <row r="110" spans="1:7" x14ac:dyDescent="0.25">
      <c r="A110" t="s">
        <v>642</v>
      </c>
    </row>
    <row r="111" spans="1:7" x14ac:dyDescent="0.25">
      <c r="A111" t="s">
        <v>643</v>
      </c>
    </row>
    <row r="112" spans="1:7" x14ac:dyDescent="0.25">
      <c r="A112" t="s">
        <v>644</v>
      </c>
    </row>
    <row r="113" spans="1:7" x14ac:dyDescent="0.25">
      <c r="A113" t="s">
        <v>646</v>
      </c>
    </row>
    <row r="114" spans="1:7" x14ac:dyDescent="0.25">
      <c r="A114" t="s">
        <v>438</v>
      </c>
    </row>
    <row r="115" spans="1:7" x14ac:dyDescent="0.25">
      <c r="A115" t="s">
        <v>642</v>
      </c>
    </row>
    <row r="116" spans="1:7" x14ac:dyDescent="0.25">
      <c r="A116" t="s">
        <v>647</v>
      </c>
    </row>
    <row r="117" spans="1:7" x14ac:dyDescent="0.25">
      <c r="A117" t="s">
        <v>648</v>
      </c>
    </row>
    <row r="118" spans="1:7" x14ac:dyDescent="0.25">
      <c r="A118" t="s">
        <v>649</v>
      </c>
    </row>
    <row r="119" spans="1:7" x14ac:dyDescent="0.25">
      <c r="A119" t="s">
        <v>650</v>
      </c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t="s">
        <v>0</v>
      </c>
      <c r="B121" t="s">
        <v>1</v>
      </c>
      <c r="C121" t="s">
        <v>2</v>
      </c>
      <c r="D121" t="s">
        <v>21</v>
      </c>
      <c r="E121" t="s">
        <v>22</v>
      </c>
      <c r="F121" t="s">
        <v>19</v>
      </c>
      <c r="G121" t="s">
        <v>27</v>
      </c>
    </row>
    <row r="122" spans="1:7" x14ac:dyDescent="0.25">
      <c r="A122" s="4">
        <v>5</v>
      </c>
      <c r="B122" s="4">
        <v>242</v>
      </c>
      <c r="C122" s="4">
        <v>3</v>
      </c>
      <c r="D122" s="4" t="s">
        <v>20</v>
      </c>
      <c r="E122" s="4" t="s">
        <v>753</v>
      </c>
      <c r="F122" s="4">
        <v>112</v>
      </c>
      <c r="G122" s="5">
        <v>0.90500000000000003</v>
      </c>
    </row>
    <row r="123" spans="1:7" x14ac:dyDescent="0.25">
      <c r="A123" s="4"/>
      <c r="B123" s="4"/>
      <c r="C123" s="4"/>
      <c r="D123" s="4"/>
      <c r="E123" s="4"/>
      <c r="F123" s="4">
        <v>60</v>
      </c>
      <c r="G123" s="5">
        <v>0.85399999999999998</v>
      </c>
    </row>
    <row r="124" spans="1:7" x14ac:dyDescent="0.25">
      <c r="F124">
        <v>12</v>
      </c>
      <c r="G124" s="1">
        <v>0.84699999999999998</v>
      </c>
    </row>
    <row r="126" spans="1:7" x14ac:dyDescent="0.25">
      <c r="A126" t="s">
        <v>435</v>
      </c>
    </row>
    <row r="127" spans="1:7" x14ac:dyDescent="0.25">
      <c r="A127" t="s">
        <v>436</v>
      </c>
    </row>
    <row r="128" spans="1:7" x14ac:dyDescent="0.25">
      <c r="A128" t="s">
        <v>690</v>
      </c>
    </row>
    <row r="129" spans="1:7" x14ac:dyDescent="0.25">
      <c r="A129" t="s">
        <v>691</v>
      </c>
    </row>
    <row r="130" spans="1:7" x14ac:dyDescent="0.25">
      <c r="A130" t="s">
        <v>692</v>
      </c>
    </row>
    <row r="131" spans="1:7" x14ac:dyDescent="0.25">
      <c r="A131" t="s">
        <v>693</v>
      </c>
    </row>
    <row r="132" spans="1:7" x14ac:dyDescent="0.25">
      <c r="A132" t="s">
        <v>437</v>
      </c>
    </row>
    <row r="133" spans="1:7" x14ac:dyDescent="0.25">
      <c r="A133" t="s">
        <v>690</v>
      </c>
    </row>
    <row r="134" spans="1:7" x14ac:dyDescent="0.25">
      <c r="A134" t="s">
        <v>691</v>
      </c>
    </row>
    <row r="135" spans="1:7" x14ac:dyDescent="0.25">
      <c r="A135" t="s">
        <v>694</v>
      </c>
    </row>
    <row r="136" spans="1:7" x14ac:dyDescent="0.25">
      <c r="A136" t="s">
        <v>695</v>
      </c>
    </row>
    <row r="137" spans="1:7" x14ac:dyDescent="0.25">
      <c r="A137" t="s">
        <v>438</v>
      </c>
    </row>
    <row r="138" spans="1:7" x14ac:dyDescent="0.25">
      <c r="A138" t="s">
        <v>690</v>
      </c>
    </row>
    <row r="139" spans="1:7" x14ac:dyDescent="0.25">
      <c r="A139" t="s">
        <v>696</v>
      </c>
    </row>
    <row r="140" spans="1:7" x14ac:dyDescent="0.25">
      <c r="A140" t="s">
        <v>697</v>
      </c>
    </row>
    <row r="141" spans="1:7" x14ac:dyDescent="0.25">
      <c r="A141" t="s">
        <v>698</v>
      </c>
    </row>
    <row r="142" spans="1:7" x14ac:dyDescent="0.25">
      <c r="A142" t="s">
        <v>699</v>
      </c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t="s">
        <v>0</v>
      </c>
      <c r="B144" t="s">
        <v>1</v>
      </c>
      <c r="C144" t="s">
        <v>2</v>
      </c>
      <c r="D144" t="s">
        <v>21</v>
      </c>
      <c r="E144" t="s">
        <v>22</v>
      </c>
      <c r="F144" t="s">
        <v>19</v>
      </c>
      <c r="G144" t="s">
        <v>27</v>
      </c>
    </row>
    <row r="145" spans="1:7" x14ac:dyDescent="0.25">
      <c r="A145" s="4">
        <v>6</v>
      </c>
      <c r="B145" s="4">
        <v>278</v>
      </c>
      <c r="C145" s="4">
        <v>3</v>
      </c>
      <c r="D145" s="4" t="s">
        <v>153</v>
      </c>
      <c r="E145" s="4" t="s">
        <v>755</v>
      </c>
      <c r="F145" s="4">
        <v>130</v>
      </c>
      <c r="G145" s="5">
        <v>0.89</v>
      </c>
    </row>
    <row r="146" spans="1:7" x14ac:dyDescent="0.25">
      <c r="A146" s="4"/>
      <c r="B146" s="4"/>
      <c r="C146" s="4"/>
      <c r="D146" s="4"/>
      <c r="E146" s="4"/>
      <c r="F146" s="4">
        <v>60</v>
      </c>
      <c r="G146" s="5">
        <v>0.83899999999999997</v>
      </c>
    </row>
    <row r="147" spans="1:7" x14ac:dyDescent="0.25">
      <c r="F147">
        <v>2</v>
      </c>
      <c r="G147" s="1">
        <v>0.83699999999999997</v>
      </c>
    </row>
    <row r="148" spans="1:7" x14ac:dyDescent="0.25">
      <c r="A148" t="s">
        <v>435</v>
      </c>
    </row>
    <row r="149" spans="1:7" x14ac:dyDescent="0.25">
      <c r="A149" t="s">
        <v>436</v>
      </c>
    </row>
    <row r="150" spans="1:7" x14ac:dyDescent="0.25">
      <c r="A150" t="s">
        <v>739</v>
      </c>
    </row>
    <row r="151" spans="1:7" x14ac:dyDescent="0.25">
      <c r="A151" t="s">
        <v>740</v>
      </c>
    </row>
    <row r="152" spans="1:7" x14ac:dyDescent="0.25">
      <c r="A152" t="s">
        <v>741</v>
      </c>
    </row>
    <row r="153" spans="1:7" x14ac:dyDescent="0.25">
      <c r="A153" t="s">
        <v>742</v>
      </c>
    </row>
    <row r="154" spans="1:7" x14ac:dyDescent="0.25">
      <c r="A154" t="s">
        <v>437</v>
      </c>
    </row>
    <row r="155" spans="1:7" x14ac:dyDescent="0.25">
      <c r="A155" t="s">
        <v>739</v>
      </c>
    </row>
    <row r="156" spans="1:7" x14ac:dyDescent="0.25">
      <c r="A156" t="s">
        <v>740</v>
      </c>
    </row>
    <row r="157" spans="1:7" x14ac:dyDescent="0.25">
      <c r="A157" t="s">
        <v>741</v>
      </c>
    </row>
    <row r="158" spans="1:7" x14ac:dyDescent="0.25">
      <c r="A158" t="s">
        <v>743</v>
      </c>
    </row>
    <row r="159" spans="1:7" x14ac:dyDescent="0.25">
      <c r="A159" t="s">
        <v>438</v>
      </c>
    </row>
    <row r="160" spans="1:7" x14ac:dyDescent="0.25">
      <c r="A160" t="s">
        <v>739</v>
      </c>
    </row>
    <row r="161" spans="1:7" x14ac:dyDescent="0.25">
      <c r="A161" t="s">
        <v>744</v>
      </c>
    </row>
    <row r="162" spans="1:7" x14ac:dyDescent="0.25">
      <c r="A162" t="s">
        <v>745</v>
      </c>
    </row>
    <row r="163" spans="1:7" x14ac:dyDescent="0.25">
      <c r="A163" t="s">
        <v>746</v>
      </c>
    </row>
    <row r="164" spans="1:7" x14ac:dyDescent="0.25">
      <c r="A164" t="s">
        <v>747</v>
      </c>
    </row>
    <row r="166" spans="1:7" x14ac:dyDescent="0.25">
      <c r="A166" t="s">
        <v>748</v>
      </c>
    </row>
    <row r="167" spans="1:7" x14ac:dyDescent="0.25">
      <c r="A167" t="s">
        <v>749</v>
      </c>
    </row>
    <row r="168" spans="1:7" s="7" customFormat="1" x14ac:dyDescent="0.25"/>
    <row r="169" spans="1:7" s="7" customFormat="1" x14ac:dyDescent="0.25"/>
    <row r="170" spans="1:7" x14ac:dyDescent="0.25">
      <c r="A170" t="s">
        <v>0</v>
      </c>
      <c r="B170" t="s">
        <v>1</v>
      </c>
      <c r="C170" t="s">
        <v>2</v>
      </c>
      <c r="D170" t="s">
        <v>21</v>
      </c>
      <c r="E170" t="s">
        <v>22</v>
      </c>
      <c r="F170" t="s">
        <v>19</v>
      </c>
      <c r="G170" t="s">
        <v>27</v>
      </c>
    </row>
    <row r="171" spans="1:7" x14ac:dyDescent="0.25">
      <c r="A171" s="4">
        <v>7</v>
      </c>
      <c r="B171" s="4">
        <v>220</v>
      </c>
      <c r="C171" s="4">
        <v>3</v>
      </c>
      <c r="D171" s="4" t="s">
        <v>209</v>
      </c>
      <c r="E171" s="4" t="s">
        <v>903</v>
      </c>
      <c r="F171" s="4">
        <v>191</v>
      </c>
      <c r="G171" s="5">
        <v>0.83799999999999997</v>
      </c>
    </row>
    <row r="172" spans="1:7" x14ac:dyDescent="0.25">
      <c r="A172" s="4"/>
      <c r="C172" s="4"/>
      <c r="D172" s="4"/>
      <c r="E172" s="4"/>
      <c r="F172" s="4">
        <v>61</v>
      </c>
      <c r="G172" s="5">
        <v>0.78700000000000003</v>
      </c>
    </row>
    <row r="173" spans="1:7" x14ac:dyDescent="0.25">
      <c r="F173">
        <v>0</v>
      </c>
      <c r="G173" s="1"/>
    </row>
    <row r="174" spans="1:7" x14ac:dyDescent="0.25">
      <c r="A174" t="s">
        <v>435</v>
      </c>
    </row>
    <row r="175" spans="1:7" x14ac:dyDescent="0.25">
      <c r="A175" t="s">
        <v>436</v>
      </c>
    </row>
    <row r="176" spans="1:7" x14ac:dyDescent="0.25">
      <c r="A176" t="s">
        <v>793</v>
      </c>
    </row>
    <row r="177" spans="1:7" x14ac:dyDescent="0.25">
      <c r="A177" t="s">
        <v>794</v>
      </c>
    </row>
    <row r="178" spans="1:7" x14ac:dyDescent="0.25">
      <c r="A178" t="s">
        <v>795</v>
      </c>
    </row>
    <row r="179" spans="1:7" x14ac:dyDescent="0.25">
      <c r="A179" t="s">
        <v>437</v>
      </c>
    </row>
    <row r="180" spans="1:7" x14ac:dyDescent="0.25">
      <c r="A180" t="s">
        <v>793</v>
      </c>
    </row>
    <row r="181" spans="1:7" x14ac:dyDescent="0.25">
      <c r="A181" t="s">
        <v>796</v>
      </c>
    </row>
    <row r="182" spans="1:7" x14ac:dyDescent="0.25">
      <c r="A182" t="s">
        <v>797</v>
      </c>
    </row>
    <row r="183" spans="1:7" x14ac:dyDescent="0.25">
      <c r="A183" t="s">
        <v>438</v>
      </c>
    </row>
    <row r="184" spans="1:7" x14ac:dyDescent="0.25">
      <c r="A184" t="s">
        <v>793</v>
      </c>
    </row>
    <row r="185" spans="1:7" x14ac:dyDescent="0.25">
      <c r="A185" t="s">
        <v>798</v>
      </c>
    </row>
    <row r="186" spans="1:7" x14ac:dyDescent="0.25">
      <c r="A186" t="s">
        <v>799</v>
      </c>
    </row>
    <row r="187" spans="1:7" x14ac:dyDescent="0.25">
      <c r="A187" t="s">
        <v>800</v>
      </c>
    </row>
    <row r="188" spans="1:7" s="7" customFormat="1" x14ac:dyDescent="0.25"/>
    <row r="189" spans="1:7" s="7" customFormat="1" x14ac:dyDescent="0.25"/>
    <row r="190" spans="1:7" x14ac:dyDescent="0.25">
      <c r="A190" t="s">
        <v>0</v>
      </c>
      <c r="B190" t="s">
        <v>1</v>
      </c>
      <c r="C190" t="s">
        <v>2</v>
      </c>
      <c r="D190" t="s">
        <v>21</v>
      </c>
      <c r="E190" t="s">
        <v>22</v>
      </c>
      <c r="F190" t="s">
        <v>19</v>
      </c>
      <c r="G190" t="s">
        <v>27</v>
      </c>
    </row>
    <row r="191" spans="1:7" x14ac:dyDescent="0.25">
      <c r="A191" s="4">
        <v>8</v>
      </c>
      <c r="B191" s="4">
        <v>642</v>
      </c>
      <c r="C191" s="4">
        <v>3</v>
      </c>
      <c r="D191" s="4" t="s">
        <v>20</v>
      </c>
      <c r="E191" s="4" t="s">
        <v>905</v>
      </c>
      <c r="F191" s="4">
        <v>134</v>
      </c>
      <c r="G191" s="5">
        <v>0.88600000000000001</v>
      </c>
    </row>
    <row r="192" spans="1:7" x14ac:dyDescent="0.25">
      <c r="A192" s="4"/>
      <c r="C192" s="4"/>
      <c r="D192" s="4"/>
      <c r="E192" s="4"/>
      <c r="F192" s="4">
        <v>61</v>
      </c>
      <c r="G192" s="1">
        <v>0.83599999999999997</v>
      </c>
    </row>
    <row r="193" spans="1:7" x14ac:dyDescent="0.25">
      <c r="F193">
        <v>5</v>
      </c>
      <c r="G193" s="1">
        <v>0.83099999999999996</v>
      </c>
    </row>
    <row r="195" spans="1:7" x14ac:dyDescent="0.25">
      <c r="A195" t="s">
        <v>435</v>
      </c>
    </row>
    <row r="196" spans="1:7" x14ac:dyDescent="0.25">
      <c r="A196" t="s">
        <v>436</v>
      </c>
    </row>
    <row r="197" spans="1:7" x14ac:dyDescent="0.25">
      <c r="A197" t="s">
        <v>842</v>
      </c>
    </row>
    <row r="198" spans="1:7" x14ac:dyDescent="0.25">
      <c r="A198" t="s">
        <v>843</v>
      </c>
    </row>
    <row r="199" spans="1:7" x14ac:dyDescent="0.25">
      <c r="A199" t="s">
        <v>844</v>
      </c>
    </row>
    <row r="200" spans="1:7" x14ac:dyDescent="0.25">
      <c r="A200" t="s">
        <v>845</v>
      </c>
    </row>
    <row r="201" spans="1:7" x14ac:dyDescent="0.25">
      <c r="A201" t="s">
        <v>437</v>
      </c>
    </row>
    <row r="202" spans="1:7" x14ac:dyDescent="0.25">
      <c r="A202" t="s">
        <v>842</v>
      </c>
    </row>
    <row r="203" spans="1:7" x14ac:dyDescent="0.25">
      <c r="A203" t="s">
        <v>846</v>
      </c>
    </row>
    <row r="204" spans="1:7" x14ac:dyDescent="0.25">
      <c r="A204" t="s">
        <v>847</v>
      </c>
    </row>
    <row r="205" spans="1:7" x14ac:dyDescent="0.25">
      <c r="A205" t="s">
        <v>848</v>
      </c>
    </row>
    <row r="206" spans="1:7" x14ac:dyDescent="0.25">
      <c r="A206" t="s">
        <v>438</v>
      </c>
    </row>
    <row r="207" spans="1:7" x14ac:dyDescent="0.25">
      <c r="A207" t="s">
        <v>842</v>
      </c>
    </row>
    <row r="208" spans="1:7" x14ac:dyDescent="0.25">
      <c r="A208" t="s">
        <v>849</v>
      </c>
    </row>
    <row r="209" spans="1:7" x14ac:dyDescent="0.25">
      <c r="A209" t="s">
        <v>850</v>
      </c>
    </row>
    <row r="210" spans="1:7" x14ac:dyDescent="0.25">
      <c r="A210" t="s">
        <v>851</v>
      </c>
    </row>
    <row r="211" spans="1:7" x14ac:dyDescent="0.25">
      <c r="A211" t="s">
        <v>852</v>
      </c>
    </row>
    <row r="212" spans="1:7" s="7" customFormat="1" x14ac:dyDescent="0.25"/>
    <row r="213" spans="1:7" s="7" customFormat="1" x14ac:dyDescent="0.25"/>
    <row r="214" spans="1:7" x14ac:dyDescent="0.25">
      <c r="A214" t="s">
        <v>0</v>
      </c>
      <c r="B214" t="s">
        <v>1</v>
      </c>
      <c r="C214" t="s">
        <v>2</v>
      </c>
      <c r="D214" t="s">
        <v>21</v>
      </c>
      <c r="E214" t="s">
        <v>22</v>
      </c>
      <c r="F214" t="s">
        <v>19</v>
      </c>
      <c r="G214" t="s">
        <v>27</v>
      </c>
    </row>
    <row r="215" spans="1:7" x14ac:dyDescent="0.25">
      <c r="A215" s="4">
        <v>9</v>
      </c>
      <c r="B215" s="4">
        <v>495</v>
      </c>
      <c r="C215" s="4">
        <v>3</v>
      </c>
      <c r="D215" s="4" t="s">
        <v>32</v>
      </c>
      <c r="E215" s="4" t="s">
        <v>907</v>
      </c>
      <c r="F215" s="4">
        <v>100</v>
      </c>
      <c r="G215" s="5">
        <v>0.91500000000000004</v>
      </c>
    </row>
    <row r="216" spans="1:7" x14ac:dyDescent="0.25">
      <c r="A216" s="4"/>
      <c r="C216" s="4"/>
      <c r="D216" s="4"/>
      <c r="E216" s="4"/>
      <c r="F216" s="4">
        <v>61</v>
      </c>
      <c r="G216" s="1">
        <v>0.83599999999999997</v>
      </c>
    </row>
    <row r="217" spans="1:7" x14ac:dyDescent="0.25">
      <c r="F217">
        <v>5</v>
      </c>
      <c r="G217" s="1">
        <v>0.83099999999999996</v>
      </c>
    </row>
    <row r="220" spans="1:7" x14ac:dyDescent="0.25">
      <c r="A220" t="s">
        <v>435</v>
      </c>
    </row>
    <row r="221" spans="1:7" x14ac:dyDescent="0.25">
      <c r="A221" t="s">
        <v>436</v>
      </c>
    </row>
    <row r="222" spans="1:7" x14ac:dyDescent="0.25">
      <c r="A222" t="s">
        <v>893</v>
      </c>
    </row>
    <row r="223" spans="1:7" x14ac:dyDescent="0.25">
      <c r="A223" t="s">
        <v>894</v>
      </c>
    </row>
    <row r="224" spans="1:7" x14ac:dyDescent="0.25">
      <c r="A224" t="s">
        <v>895</v>
      </c>
    </row>
    <row r="225" spans="1:7" x14ac:dyDescent="0.25">
      <c r="A225" t="s">
        <v>896</v>
      </c>
    </row>
    <row r="226" spans="1:7" x14ac:dyDescent="0.25">
      <c r="A226" t="s">
        <v>437</v>
      </c>
    </row>
    <row r="227" spans="1:7" x14ac:dyDescent="0.25">
      <c r="A227" t="s">
        <v>893</v>
      </c>
    </row>
    <row r="228" spans="1:7" x14ac:dyDescent="0.25">
      <c r="A228" t="s">
        <v>897</v>
      </c>
    </row>
    <row r="229" spans="1:7" x14ac:dyDescent="0.25">
      <c r="A229" t="s">
        <v>898</v>
      </c>
    </row>
    <row r="230" spans="1:7" x14ac:dyDescent="0.25">
      <c r="A230" t="s">
        <v>899</v>
      </c>
    </row>
    <row r="231" spans="1:7" x14ac:dyDescent="0.25">
      <c r="A231" t="s">
        <v>438</v>
      </c>
    </row>
    <row r="232" spans="1:7" x14ac:dyDescent="0.25">
      <c r="A232" t="s">
        <v>893</v>
      </c>
    </row>
    <row r="233" spans="1:7" x14ac:dyDescent="0.25">
      <c r="A233" t="s">
        <v>897</v>
      </c>
    </row>
    <row r="234" spans="1:7" x14ac:dyDescent="0.25">
      <c r="A234" t="s">
        <v>900</v>
      </c>
    </row>
    <row r="235" spans="1:7" x14ac:dyDescent="0.25">
      <c r="A235" t="s">
        <v>901</v>
      </c>
    </row>
    <row r="236" spans="1:7" x14ac:dyDescent="0.25">
      <c r="A236" t="s">
        <v>902</v>
      </c>
    </row>
    <row r="237" spans="1:7" x14ac:dyDescent="0.25">
      <c r="A237" s="7"/>
      <c r="B237" s="7"/>
      <c r="C237" s="7"/>
      <c r="D237" s="7"/>
      <c r="E237" s="7"/>
      <c r="F237" s="7"/>
      <c r="G237" s="7"/>
    </row>
    <row r="238" spans="1:7" x14ac:dyDescent="0.25">
      <c r="A238" s="7"/>
      <c r="B238" s="7"/>
      <c r="C238" s="7"/>
      <c r="D238" s="7"/>
      <c r="E238" s="7"/>
      <c r="F238" s="7"/>
      <c r="G238" s="7"/>
    </row>
    <row r="239" spans="1:7" x14ac:dyDescent="0.25">
      <c r="A239" t="s">
        <v>0</v>
      </c>
      <c r="B239" t="s">
        <v>1</v>
      </c>
      <c r="C239" t="s">
        <v>2</v>
      </c>
      <c r="D239" t="s">
        <v>21</v>
      </c>
      <c r="E239" t="s">
        <v>22</v>
      </c>
      <c r="F239" t="s">
        <v>19</v>
      </c>
      <c r="G239" t="s">
        <v>27</v>
      </c>
    </row>
    <row r="240" spans="1:7" x14ac:dyDescent="0.25">
      <c r="A240" s="4">
        <v>10</v>
      </c>
      <c r="B240" s="4">
        <v>546</v>
      </c>
      <c r="C240" s="4">
        <v>3</v>
      </c>
      <c r="D240" s="4" t="s">
        <v>209</v>
      </c>
      <c r="E240" s="4" t="s">
        <v>959</v>
      </c>
      <c r="F240" s="4">
        <v>90</v>
      </c>
      <c r="G240" s="5">
        <v>0.92400000000000004</v>
      </c>
    </row>
    <row r="241" spans="1:7" x14ac:dyDescent="0.25">
      <c r="A241" s="4"/>
      <c r="C241" s="4"/>
      <c r="D241" s="4"/>
      <c r="E241" s="4"/>
      <c r="F241" s="4">
        <v>60</v>
      </c>
      <c r="G241" s="1">
        <f>87.3%</f>
        <v>0.873</v>
      </c>
    </row>
    <row r="242" spans="1:7" x14ac:dyDescent="0.25">
      <c r="F242">
        <v>35</v>
      </c>
      <c r="G242" s="1">
        <v>0.84299999999999997</v>
      </c>
    </row>
    <row r="243" spans="1:7" x14ac:dyDescent="0.25">
      <c r="A243" t="s">
        <v>435</v>
      </c>
    </row>
    <row r="244" spans="1:7" x14ac:dyDescent="0.25">
      <c r="A244" t="s">
        <v>436</v>
      </c>
    </row>
    <row r="245" spans="1:7" x14ac:dyDescent="0.25">
      <c r="A245" t="s">
        <v>949</v>
      </c>
    </row>
    <row r="246" spans="1:7" x14ac:dyDescent="0.25">
      <c r="A246" t="s">
        <v>950</v>
      </c>
    </row>
    <row r="247" spans="1:7" x14ac:dyDescent="0.25">
      <c r="A247" t="s">
        <v>951</v>
      </c>
    </row>
    <row r="248" spans="1:7" x14ac:dyDescent="0.25">
      <c r="A248" t="s">
        <v>952</v>
      </c>
    </row>
    <row r="249" spans="1:7" x14ac:dyDescent="0.25">
      <c r="A249" t="s">
        <v>437</v>
      </c>
    </row>
    <row r="250" spans="1:7" x14ac:dyDescent="0.25">
      <c r="A250" t="s">
        <v>949</v>
      </c>
    </row>
    <row r="251" spans="1:7" x14ac:dyDescent="0.25">
      <c r="A251" t="s">
        <v>953</v>
      </c>
    </row>
    <row r="252" spans="1:7" x14ac:dyDescent="0.25">
      <c r="A252" t="s">
        <v>954</v>
      </c>
    </row>
    <row r="253" spans="1:7" x14ac:dyDescent="0.25">
      <c r="A253" t="s">
        <v>955</v>
      </c>
    </row>
    <row r="254" spans="1:7" x14ac:dyDescent="0.25">
      <c r="A254" t="s">
        <v>438</v>
      </c>
    </row>
    <row r="255" spans="1:7" x14ac:dyDescent="0.25">
      <c r="A255" t="s">
        <v>949</v>
      </c>
    </row>
    <row r="256" spans="1:7" x14ac:dyDescent="0.25">
      <c r="A256" t="s">
        <v>953</v>
      </c>
    </row>
    <row r="257" spans="1:1" x14ac:dyDescent="0.25">
      <c r="A257" t="s">
        <v>956</v>
      </c>
    </row>
    <row r="258" spans="1:1" x14ac:dyDescent="0.25">
      <c r="A258" t="s">
        <v>957</v>
      </c>
    </row>
    <row r="259" spans="1:1" x14ac:dyDescent="0.25">
      <c r="A259" t="s">
        <v>958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CB39-243D-4135-840F-9F5F2D39E291}">
  <dimension ref="A1:A570"/>
  <sheetViews>
    <sheetView topLeftCell="A556" zoomScaleNormal="100" workbookViewId="0">
      <selection activeCell="A483" sqref="A483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7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13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5" spans="1:1" x14ac:dyDescent="0.25">
      <c r="A45" t="s">
        <v>79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7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13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5" spans="1:1" x14ac:dyDescent="0.25">
      <c r="A65" t="s">
        <v>43</v>
      </c>
    </row>
    <row r="66" spans="1:1" x14ac:dyDescent="0.25">
      <c r="A66" t="s">
        <v>71</v>
      </c>
    </row>
    <row r="67" spans="1:1" x14ac:dyDescent="0.25">
      <c r="A67" t="s">
        <v>45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7" spans="1:1" x14ac:dyDescent="0.25">
      <c r="A77" t="s">
        <v>111</v>
      </c>
    </row>
    <row r="78" spans="1:1" x14ac:dyDescent="0.25">
      <c r="A78" t="s">
        <v>81</v>
      </c>
    </row>
    <row r="79" spans="1:1" x14ac:dyDescent="0.25">
      <c r="A79" t="s">
        <v>82</v>
      </c>
    </row>
    <row r="80" spans="1:1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90</v>
      </c>
    </row>
    <row r="88" spans="1:1" x14ac:dyDescent="0.25">
      <c r="A88" t="s">
        <v>91</v>
      </c>
    </row>
    <row r="89" spans="1:1" x14ac:dyDescent="0.25">
      <c r="A89" t="s">
        <v>92</v>
      </c>
    </row>
    <row r="90" spans="1:1" x14ac:dyDescent="0.25">
      <c r="A90" t="s">
        <v>7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13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3" spans="1:1" x14ac:dyDescent="0.25">
      <c r="A103" t="s">
        <v>43</v>
      </c>
    </row>
    <row r="104" spans="1:1" x14ac:dyDescent="0.25">
      <c r="A104" t="s">
        <v>103</v>
      </c>
    </row>
    <row r="105" spans="1:1" x14ac:dyDescent="0.25">
      <c r="A105" t="s">
        <v>45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5" spans="1:1" x14ac:dyDescent="0.25">
      <c r="A115" t="s">
        <v>188</v>
      </c>
    </row>
    <row r="116" spans="1:1" x14ac:dyDescent="0.25">
      <c r="A116" t="s">
        <v>112</v>
      </c>
    </row>
    <row r="117" spans="1:1" x14ac:dyDescent="0.25">
      <c r="A117" t="s">
        <v>82</v>
      </c>
    </row>
    <row r="118" spans="1:1" x14ac:dyDescent="0.25">
      <c r="A118" t="s">
        <v>113</v>
      </c>
    </row>
    <row r="119" spans="1:1" x14ac:dyDescent="0.25">
      <c r="A119" t="s">
        <v>114</v>
      </c>
    </row>
    <row r="120" spans="1:1" x14ac:dyDescent="0.25">
      <c r="A120" t="s">
        <v>115</v>
      </c>
    </row>
    <row r="121" spans="1:1" x14ac:dyDescent="0.25">
      <c r="A121" t="s">
        <v>116</v>
      </c>
    </row>
    <row r="122" spans="1:1" x14ac:dyDescent="0.25">
      <c r="A122" t="s">
        <v>7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13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30" spans="1:1" x14ac:dyDescent="0.25">
      <c r="A130" t="s">
        <v>43</v>
      </c>
    </row>
    <row r="131" spans="1:1" x14ac:dyDescent="0.25">
      <c r="A131" t="s">
        <v>122</v>
      </c>
    </row>
    <row r="132" spans="1:1" x14ac:dyDescent="0.25">
      <c r="A132" t="s">
        <v>45</v>
      </c>
    </row>
    <row r="133" spans="1:1" x14ac:dyDescent="0.25">
      <c r="A133" t="s">
        <v>123</v>
      </c>
    </row>
    <row r="134" spans="1:1" x14ac:dyDescent="0.25">
      <c r="A134" t="s">
        <v>124</v>
      </c>
    </row>
    <row r="135" spans="1:1" x14ac:dyDescent="0.25">
      <c r="A135" t="s">
        <v>125</v>
      </c>
    </row>
    <row r="136" spans="1:1" x14ac:dyDescent="0.25">
      <c r="A136" t="s">
        <v>126</v>
      </c>
    </row>
    <row r="137" spans="1:1" x14ac:dyDescent="0.25">
      <c r="A137" t="s">
        <v>127</v>
      </c>
    </row>
    <row r="138" spans="1:1" x14ac:dyDescent="0.25">
      <c r="A138" t="s">
        <v>128</v>
      </c>
    </row>
    <row r="139" spans="1:1" x14ac:dyDescent="0.25">
      <c r="A139" t="s">
        <v>129</v>
      </c>
    </row>
    <row r="142" spans="1:1" x14ac:dyDescent="0.25">
      <c r="A142" t="s">
        <v>189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136</v>
      </c>
    </row>
    <row r="149" spans="1:1" x14ac:dyDescent="0.25">
      <c r="A149" t="s">
        <v>7</v>
      </c>
    </row>
    <row r="150" spans="1:1" x14ac:dyDescent="0.25">
      <c r="A150" t="s">
        <v>137</v>
      </c>
    </row>
    <row r="151" spans="1:1" x14ac:dyDescent="0.25">
      <c r="A151" t="s">
        <v>138</v>
      </c>
    </row>
    <row r="152" spans="1:1" x14ac:dyDescent="0.25">
      <c r="A152" t="s">
        <v>139</v>
      </c>
    </row>
    <row r="153" spans="1:1" x14ac:dyDescent="0.25">
      <c r="A153" t="s">
        <v>140</v>
      </c>
    </row>
    <row r="154" spans="1:1" x14ac:dyDescent="0.25">
      <c r="A154" t="s">
        <v>13</v>
      </c>
    </row>
    <row r="155" spans="1:1" x14ac:dyDescent="0.25">
      <c r="A155" t="s">
        <v>141</v>
      </c>
    </row>
    <row r="156" spans="1:1" x14ac:dyDescent="0.25">
      <c r="A156" t="s">
        <v>142</v>
      </c>
    </row>
    <row r="157" spans="1:1" x14ac:dyDescent="0.25">
      <c r="A157" t="s">
        <v>143</v>
      </c>
    </row>
    <row r="158" spans="1:1" x14ac:dyDescent="0.25">
      <c r="A158" t="s">
        <v>144</v>
      </c>
    </row>
    <row r="160" spans="1:1" x14ac:dyDescent="0.25">
      <c r="A160" t="s">
        <v>43</v>
      </c>
    </row>
    <row r="161" spans="1:1" x14ac:dyDescent="0.25">
      <c r="A161" t="s">
        <v>145</v>
      </c>
    </row>
    <row r="162" spans="1:1" x14ac:dyDescent="0.25">
      <c r="A162" t="s">
        <v>45</v>
      </c>
    </row>
    <row r="163" spans="1:1" x14ac:dyDescent="0.25">
      <c r="A163" t="s">
        <v>146</v>
      </c>
    </row>
    <row r="164" spans="1:1" x14ac:dyDescent="0.25">
      <c r="A164" t="s">
        <v>147</v>
      </c>
    </row>
    <row r="165" spans="1:1" x14ac:dyDescent="0.25">
      <c r="A165" t="s">
        <v>148</v>
      </c>
    </row>
    <row r="166" spans="1:1" x14ac:dyDescent="0.25">
      <c r="A166" t="s">
        <v>149</v>
      </c>
    </row>
    <row r="167" spans="1:1" x14ac:dyDescent="0.25">
      <c r="A167" t="s">
        <v>150</v>
      </c>
    </row>
    <row r="168" spans="1:1" x14ac:dyDescent="0.25">
      <c r="A168" t="s">
        <v>151</v>
      </c>
    </row>
    <row r="169" spans="1:1" x14ac:dyDescent="0.25">
      <c r="A169" t="s">
        <v>152</v>
      </c>
    </row>
    <row r="172" spans="1:1" x14ac:dyDescent="0.25">
      <c r="A172" t="s">
        <v>190</v>
      </c>
    </row>
    <row r="173" spans="1:1" x14ac:dyDescent="0.25">
      <c r="A173" t="s">
        <v>186</v>
      </c>
    </row>
    <row r="174" spans="1:1" x14ac:dyDescent="0.25">
      <c r="A174" t="s">
        <v>158</v>
      </c>
    </row>
    <row r="175" spans="1:1" x14ac:dyDescent="0.25">
      <c r="A175" t="s">
        <v>159</v>
      </c>
    </row>
    <row r="176" spans="1:1" x14ac:dyDescent="0.25">
      <c r="A176" t="s">
        <v>160</v>
      </c>
    </row>
    <row r="177" spans="1:1" x14ac:dyDescent="0.25">
      <c r="A177" t="s">
        <v>161</v>
      </c>
    </row>
    <row r="178" spans="1:1" x14ac:dyDescent="0.25">
      <c r="A178" t="s">
        <v>162</v>
      </c>
    </row>
    <row r="179" spans="1:1" x14ac:dyDescent="0.25">
      <c r="A179" t="s">
        <v>163</v>
      </c>
    </row>
    <row r="180" spans="1:1" x14ac:dyDescent="0.25">
      <c r="A180" t="s">
        <v>164</v>
      </c>
    </row>
    <row r="181" spans="1:1" x14ac:dyDescent="0.25">
      <c r="A181" t="s">
        <v>7</v>
      </c>
    </row>
    <row r="182" spans="1:1" x14ac:dyDescent="0.25">
      <c r="A182" t="s">
        <v>165</v>
      </c>
    </row>
    <row r="183" spans="1:1" x14ac:dyDescent="0.25">
      <c r="A183" t="s">
        <v>166</v>
      </c>
    </row>
    <row r="184" spans="1:1" x14ac:dyDescent="0.25">
      <c r="A184" t="s">
        <v>167</v>
      </c>
    </row>
    <row r="185" spans="1:1" x14ac:dyDescent="0.25">
      <c r="A185" t="s">
        <v>168</v>
      </c>
    </row>
    <row r="186" spans="1:1" x14ac:dyDescent="0.25">
      <c r="A186" t="s">
        <v>169</v>
      </c>
    </row>
    <row r="187" spans="1:1" x14ac:dyDescent="0.25">
      <c r="A187" t="s">
        <v>170</v>
      </c>
    </row>
    <row r="188" spans="1:1" x14ac:dyDescent="0.25">
      <c r="A188" t="s">
        <v>171</v>
      </c>
    </row>
    <row r="189" spans="1:1" x14ac:dyDescent="0.25">
      <c r="A189" t="s">
        <v>172</v>
      </c>
    </row>
    <row r="190" spans="1:1" x14ac:dyDescent="0.25">
      <c r="A190" t="s">
        <v>173</v>
      </c>
    </row>
    <row r="191" spans="1:1" x14ac:dyDescent="0.25">
      <c r="A191" t="s">
        <v>13</v>
      </c>
    </row>
    <row r="192" spans="1:1" x14ac:dyDescent="0.25">
      <c r="A192" t="s">
        <v>174</v>
      </c>
    </row>
    <row r="193" spans="1:1" x14ac:dyDescent="0.25">
      <c r="A193" t="s">
        <v>175</v>
      </c>
    </row>
    <row r="194" spans="1:1" x14ac:dyDescent="0.25">
      <c r="A194" t="s">
        <v>176</v>
      </c>
    </row>
    <row r="195" spans="1:1" x14ac:dyDescent="0.25">
      <c r="A195" t="s">
        <v>177</v>
      </c>
    </row>
    <row r="197" spans="1:1" x14ac:dyDescent="0.25">
      <c r="A197" t="s">
        <v>43</v>
      </c>
    </row>
    <row r="198" spans="1:1" x14ac:dyDescent="0.25">
      <c r="A198" t="s">
        <v>178</v>
      </c>
    </row>
    <row r="199" spans="1:1" x14ac:dyDescent="0.25">
      <c r="A199" t="s">
        <v>179</v>
      </c>
    </row>
    <row r="200" spans="1:1" x14ac:dyDescent="0.25">
      <c r="A200" t="s">
        <v>180</v>
      </c>
    </row>
    <row r="201" spans="1:1" x14ac:dyDescent="0.25">
      <c r="A201" t="s">
        <v>181</v>
      </c>
    </row>
    <row r="202" spans="1:1" x14ac:dyDescent="0.25">
      <c r="A202" t="s">
        <v>182</v>
      </c>
    </row>
    <row r="203" spans="1:1" x14ac:dyDescent="0.25">
      <c r="A203" t="s">
        <v>183</v>
      </c>
    </row>
    <row r="204" spans="1:1" x14ac:dyDescent="0.25">
      <c r="A204" t="s">
        <v>184</v>
      </c>
    </row>
    <row r="205" spans="1:1" x14ac:dyDescent="0.25">
      <c r="A205" t="s">
        <v>185</v>
      </c>
    </row>
    <row r="208" spans="1:1" x14ac:dyDescent="0.25">
      <c r="A208" t="s">
        <v>207</v>
      </c>
    </row>
    <row r="209" spans="1:1" x14ac:dyDescent="0.25">
      <c r="A209" t="s">
        <v>191</v>
      </c>
    </row>
    <row r="210" spans="1:1" x14ac:dyDescent="0.25">
      <c r="A210" t="s">
        <v>56</v>
      </c>
    </row>
    <row r="211" spans="1:1" x14ac:dyDescent="0.25">
      <c r="A211" t="s">
        <v>192</v>
      </c>
    </row>
    <row r="212" spans="1:1" x14ac:dyDescent="0.25">
      <c r="A212" t="s">
        <v>193</v>
      </c>
    </row>
    <row r="213" spans="1:1" x14ac:dyDescent="0.25">
      <c r="A213" t="s">
        <v>7</v>
      </c>
    </row>
    <row r="214" spans="1:1" x14ac:dyDescent="0.25">
      <c r="A214" t="s">
        <v>194</v>
      </c>
    </row>
    <row r="215" spans="1:1" x14ac:dyDescent="0.25">
      <c r="A215" t="s">
        <v>195</v>
      </c>
    </row>
    <row r="216" spans="1:1" x14ac:dyDescent="0.25">
      <c r="A216" t="s">
        <v>196</v>
      </c>
    </row>
    <row r="217" spans="1:1" x14ac:dyDescent="0.25">
      <c r="A217" t="s">
        <v>13</v>
      </c>
    </row>
    <row r="218" spans="1:1" x14ac:dyDescent="0.25">
      <c r="A218" t="s">
        <v>197</v>
      </c>
    </row>
    <row r="219" spans="1:1" x14ac:dyDescent="0.25">
      <c r="A219" t="s">
        <v>198</v>
      </c>
    </row>
    <row r="220" spans="1:1" x14ac:dyDescent="0.25">
      <c r="A220" t="s">
        <v>199</v>
      </c>
    </row>
    <row r="222" spans="1:1" x14ac:dyDescent="0.25">
      <c r="A222" t="s">
        <v>43</v>
      </c>
    </row>
    <row r="223" spans="1:1" x14ac:dyDescent="0.25">
      <c r="A223" t="s">
        <v>200</v>
      </c>
    </row>
    <row r="224" spans="1:1" x14ac:dyDescent="0.25">
      <c r="A224" t="s">
        <v>45</v>
      </c>
    </row>
    <row r="225" spans="1:1" x14ac:dyDescent="0.25">
      <c r="A225" t="s">
        <v>201</v>
      </c>
    </row>
    <row r="226" spans="1:1" x14ac:dyDescent="0.25">
      <c r="A226" t="s">
        <v>202</v>
      </c>
    </row>
    <row r="227" spans="1:1" x14ac:dyDescent="0.25">
      <c r="A227" t="s">
        <v>203</v>
      </c>
    </row>
    <row r="228" spans="1:1" x14ac:dyDescent="0.25">
      <c r="A228" t="s">
        <v>204</v>
      </c>
    </row>
    <row r="229" spans="1:1" x14ac:dyDescent="0.25">
      <c r="A229" t="s">
        <v>205</v>
      </c>
    </row>
    <row r="230" spans="1:1" x14ac:dyDescent="0.25">
      <c r="A230" t="s">
        <v>206</v>
      </c>
    </row>
    <row r="234" spans="1:1" x14ac:dyDescent="0.25">
      <c r="A234" t="s">
        <v>235</v>
      </c>
    </row>
    <row r="235" spans="1:1" x14ac:dyDescent="0.25">
      <c r="A235" t="s">
        <v>210</v>
      </c>
    </row>
    <row r="236" spans="1:1" x14ac:dyDescent="0.25">
      <c r="A236" t="s">
        <v>211</v>
      </c>
    </row>
    <row r="237" spans="1:1" x14ac:dyDescent="0.25">
      <c r="A237" t="s">
        <v>212</v>
      </c>
    </row>
    <row r="238" spans="1:1" x14ac:dyDescent="0.25">
      <c r="A238" t="s">
        <v>7</v>
      </c>
    </row>
    <row r="239" spans="1:1" x14ac:dyDescent="0.25">
      <c r="A239" t="s">
        <v>213</v>
      </c>
    </row>
    <row r="240" spans="1:1" x14ac:dyDescent="0.25">
      <c r="A240" t="s">
        <v>214</v>
      </c>
    </row>
    <row r="241" spans="1:1" x14ac:dyDescent="0.25">
      <c r="A241" t="s">
        <v>215</v>
      </c>
    </row>
    <row r="242" spans="1:1" x14ac:dyDescent="0.25">
      <c r="A242" t="s">
        <v>216</v>
      </c>
    </row>
    <row r="243" spans="1:1" x14ac:dyDescent="0.25">
      <c r="A243" t="s">
        <v>217</v>
      </c>
    </row>
    <row r="244" spans="1:1" x14ac:dyDescent="0.25">
      <c r="A244" t="s">
        <v>218</v>
      </c>
    </row>
    <row r="245" spans="1:1" x14ac:dyDescent="0.25">
      <c r="A245" t="s">
        <v>219</v>
      </c>
    </row>
    <row r="246" spans="1:1" x14ac:dyDescent="0.25">
      <c r="A246" t="s">
        <v>220</v>
      </c>
    </row>
    <row r="247" spans="1:1" x14ac:dyDescent="0.25">
      <c r="A247" t="s">
        <v>221</v>
      </c>
    </row>
    <row r="248" spans="1:1" x14ac:dyDescent="0.25">
      <c r="A248" t="s">
        <v>13</v>
      </c>
    </row>
    <row r="249" spans="1:1" x14ac:dyDescent="0.25">
      <c r="A249" t="s">
        <v>222</v>
      </c>
    </row>
    <row r="250" spans="1:1" x14ac:dyDescent="0.25">
      <c r="A250" t="s">
        <v>223</v>
      </c>
    </row>
    <row r="251" spans="1:1" x14ac:dyDescent="0.25">
      <c r="A251" t="s">
        <v>224</v>
      </c>
    </row>
    <row r="252" spans="1:1" x14ac:dyDescent="0.25">
      <c r="A252" t="s">
        <v>225</v>
      </c>
    </row>
    <row r="253" spans="1:1" x14ac:dyDescent="0.25">
      <c r="A253" t="s">
        <v>226</v>
      </c>
    </row>
    <row r="255" spans="1:1" x14ac:dyDescent="0.25">
      <c r="A255" t="s">
        <v>43</v>
      </c>
    </row>
    <row r="256" spans="1:1" x14ac:dyDescent="0.25">
      <c r="A256" t="s">
        <v>227</v>
      </c>
    </row>
    <row r="257" spans="1:1" x14ac:dyDescent="0.25">
      <c r="A257" t="s">
        <v>179</v>
      </c>
    </row>
    <row r="258" spans="1:1" x14ac:dyDescent="0.25">
      <c r="A258" t="s">
        <v>228</v>
      </c>
    </row>
    <row r="259" spans="1:1" x14ac:dyDescent="0.25">
      <c r="A259" t="s">
        <v>229</v>
      </c>
    </row>
    <row r="260" spans="1:1" x14ac:dyDescent="0.25">
      <c r="A260" t="s">
        <v>230</v>
      </c>
    </row>
    <row r="261" spans="1:1" x14ac:dyDescent="0.25">
      <c r="A261" t="s">
        <v>231</v>
      </c>
    </row>
    <row r="262" spans="1:1" x14ac:dyDescent="0.25">
      <c r="A262" t="s">
        <v>232</v>
      </c>
    </row>
    <row r="263" spans="1:1" x14ac:dyDescent="0.25">
      <c r="A263" t="s">
        <v>233</v>
      </c>
    </row>
    <row r="266" spans="1:1" x14ac:dyDescent="0.25">
      <c r="A266" t="s">
        <v>256</v>
      </c>
    </row>
    <row r="267" spans="1:1" x14ac:dyDescent="0.25">
      <c r="A267" t="s">
        <v>236</v>
      </c>
    </row>
    <row r="268" spans="1:1" x14ac:dyDescent="0.25">
      <c r="A268" t="s">
        <v>237</v>
      </c>
    </row>
    <row r="269" spans="1:1" x14ac:dyDescent="0.25">
      <c r="A269" t="s">
        <v>238</v>
      </c>
    </row>
    <row r="270" spans="1:1" x14ac:dyDescent="0.25">
      <c r="A270" t="s">
        <v>7</v>
      </c>
    </row>
    <row r="271" spans="1:1" x14ac:dyDescent="0.25">
      <c r="A271" t="s">
        <v>239</v>
      </c>
    </row>
    <row r="272" spans="1:1" x14ac:dyDescent="0.25">
      <c r="A272" t="s">
        <v>240</v>
      </c>
    </row>
    <row r="273" spans="1:1" x14ac:dyDescent="0.25">
      <c r="A273" t="s">
        <v>241</v>
      </c>
    </row>
    <row r="274" spans="1:1" x14ac:dyDescent="0.25">
      <c r="A274" t="s">
        <v>242</v>
      </c>
    </row>
    <row r="275" spans="1:1" x14ac:dyDescent="0.25">
      <c r="A275" t="s">
        <v>243</v>
      </c>
    </row>
    <row r="276" spans="1:1" x14ac:dyDescent="0.25">
      <c r="A276" t="s">
        <v>244</v>
      </c>
    </row>
    <row r="277" spans="1:1" x14ac:dyDescent="0.25">
      <c r="A277" t="s">
        <v>245</v>
      </c>
    </row>
    <row r="278" spans="1:1" x14ac:dyDescent="0.25">
      <c r="A278" t="s">
        <v>13</v>
      </c>
    </row>
    <row r="279" spans="1:1" x14ac:dyDescent="0.25">
      <c r="A279" t="s">
        <v>246</v>
      </c>
    </row>
    <row r="280" spans="1:1" x14ac:dyDescent="0.25">
      <c r="A280" t="s">
        <v>247</v>
      </c>
    </row>
    <row r="281" spans="1:1" x14ac:dyDescent="0.25">
      <c r="A281" t="s">
        <v>248</v>
      </c>
    </row>
    <row r="283" spans="1:1" x14ac:dyDescent="0.25">
      <c r="A283" t="s">
        <v>43</v>
      </c>
    </row>
    <row r="284" spans="1:1" x14ac:dyDescent="0.25">
      <c r="A284" t="s">
        <v>249</v>
      </c>
    </row>
    <row r="285" spans="1:1" x14ac:dyDescent="0.25">
      <c r="A285" t="s">
        <v>45</v>
      </c>
    </row>
    <row r="286" spans="1:1" x14ac:dyDescent="0.25">
      <c r="A286" t="s">
        <v>250</v>
      </c>
    </row>
    <row r="287" spans="1:1" x14ac:dyDescent="0.25">
      <c r="A287" t="s">
        <v>251</v>
      </c>
    </row>
    <row r="288" spans="1:1" x14ac:dyDescent="0.25">
      <c r="A288" t="s">
        <v>252</v>
      </c>
    </row>
    <row r="289" spans="1:1" x14ac:dyDescent="0.25">
      <c r="A289" t="s">
        <v>253</v>
      </c>
    </row>
    <row r="290" spans="1:1" x14ac:dyDescent="0.25">
      <c r="A290" t="s">
        <v>254</v>
      </c>
    </row>
    <row r="291" spans="1:1" x14ac:dyDescent="0.25">
      <c r="A291" t="s">
        <v>255</v>
      </c>
    </row>
    <row r="294" spans="1:1" x14ac:dyDescent="0.25">
      <c r="A294" t="s">
        <v>278</v>
      </c>
    </row>
    <row r="295" spans="1:1" x14ac:dyDescent="0.25">
      <c r="A295" t="s">
        <v>260</v>
      </c>
    </row>
    <row r="296" spans="1:1" x14ac:dyDescent="0.25">
      <c r="A296" t="s">
        <v>261</v>
      </c>
    </row>
    <row r="297" spans="1:1" x14ac:dyDescent="0.25">
      <c r="A297" t="s">
        <v>262</v>
      </c>
    </row>
    <row r="298" spans="1:1" x14ac:dyDescent="0.25">
      <c r="A298" t="s">
        <v>263</v>
      </c>
    </row>
    <row r="299" spans="1:1" x14ac:dyDescent="0.25">
      <c r="A299" t="s">
        <v>7</v>
      </c>
    </row>
    <row r="300" spans="1:1" x14ac:dyDescent="0.25">
      <c r="A300" t="s">
        <v>264</v>
      </c>
    </row>
    <row r="301" spans="1:1" x14ac:dyDescent="0.25">
      <c r="A301" t="s">
        <v>265</v>
      </c>
    </row>
    <row r="302" spans="1:1" x14ac:dyDescent="0.25">
      <c r="A302" t="s">
        <v>266</v>
      </c>
    </row>
    <row r="303" spans="1:1" x14ac:dyDescent="0.25">
      <c r="A303" t="s">
        <v>13</v>
      </c>
    </row>
    <row r="304" spans="1:1" x14ac:dyDescent="0.25">
      <c r="A304" t="s">
        <v>267</v>
      </c>
    </row>
    <row r="305" spans="1:1" x14ac:dyDescent="0.25">
      <c r="A305" t="s">
        <v>268</v>
      </c>
    </row>
    <row r="306" spans="1:1" x14ac:dyDescent="0.25">
      <c r="A306" t="s">
        <v>269</v>
      </c>
    </row>
    <row r="307" spans="1:1" x14ac:dyDescent="0.25">
      <c r="A307" t="s">
        <v>270</v>
      </c>
    </row>
    <row r="309" spans="1:1" x14ac:dyDescent="0.25">
      <c r="A309" t="s">
        <v>43</v>
      </c>
    </row>
    <row r="310" spans="1:1" x14ac:dyDescent="0.25">
      <c r="A310" t="s">
        <v>271</v>
      </c>
    </row>
    <row r="311" spans="1:1" x14ac:dyDescent="0.25">
      <c r="A311" t="s">
        <v>45</v>
      </c>
    </row>
    <row r="312" spans="1:1" x14ac:dyDescent="0.25">
      <c r="A312" t="s">
        <v>272</v>
      </c>
    </row>
    <row r="313" spans="1:1" x14ac:dyDescent="0.25">
      <c r="A313" t="s">
        <v>273</v>
      </c>
    </row>
    <row r="314" spans="1:1" x14ac:dyDescent="0.25">
      <c r="A314" t="s">
        <v>274</v>
      </c>
    </row>
    <row r="315" spans="1:1" x14ac:dyDescent="0.25">
      <c r="A315" t="s">
        <v>275</v>
      </c>
    </row>
    <row r="316" spans="1:1" x14ac:dyDescent="0.25">
      <c r="A316" t="s">
        <v>276</v>
      </c>
    </row>
    <row r="317" spans="1:1" x14ac:dyDescent="0.25">
      <c r="A317" t="s">
        <v>277</v>
      </c>
    </row>
    <row r="319" spans="1:1" x14ac:dyDescent="0.25">
      <c r="A319" t="s">
        <v>297</v>
      </c>
    </row>
    <row r="320" spans="1:1" x14ac:dyDescent="0.25">
      <c r="A320" t="s">
        <v>279</v>
      </c>
    </row>
    <row r="321" spans="1:1" x14ac:dyDescent="0.25">
      <c r="A321" t="s">
        <v>280</v>
      </c>
    </row>
    <row r="322" spans="1:1" x14ac:dyDescent="0.25">
      <c r="A322" t="s">
        <v>281</v>
      </c>
    </row>
    <row r="323" spans="1:1" x14ac:dyDescent="0.25">
      <c r="A323" t="s">
        <v>282</v>
      </c>
    </row>
    <row r="324" spans="1:1" x14ac:dyDescent="0.25">
      <c r="A324" t="s">
        <v>7</v>
      </c>
    </row>
    <row r="325" spans="1:1" x14ac:dyDescent="0.25">
      <c r="A325" t="s">
        <v>283</v>
      </c>
    </row>
    <row r="326" spans="1:1" x14ac:dyDescent="0.25">
      <c r="A326" t="s">
        <v>284</v>
      </c>
    </row>
    <row r="327" spans="1:1" x14ac:dyDescent="0.25">
      <c r="A327" t="s">
        <v>285</v>
      </c>
    </row>
    <row r="328" spans="1:1" x14ac:dyDescent="0.25">
      <c r="A328" t="s">
        <v>286</v>
      </c>
    </row>
    <row r="329" spans="1:1" x14ac:dyDescent="0.25">
      <c r="A329" t="s">
        <v>13</v>
      </c>
    </row>
    <row r="330" spans="1:1" x14ac:dyDescent="0.25">
      <c r="A330" t="s">
        <v>287</v>
      </c>
    </row>
    <row r="331" spans="1:1" x14ac:dyDescent="0.25">
      <c r="A331" t="s">
        <v>288</v>
      </c>
    </row>
    <row r="332" spans="1:1" x14ac:dyDescent="0.25">
      <c r="A332" t="s">
        <v>289</v>
      </c>
    </row>
    <row r="334" spans="1:1" x14ac:dyDescent="0.25">
      <c r="A334" t="s">
        <v>43</v>
      </c>
    </row>
    <row r="335" spans="1:1" x14ac:dyDescent="0.25">
      <c r="A335" t="s">
        <v>290</v>
      </c>
    </row>
    <row r="336" spans="1:1" x14ac:dyDescent="0.25">
      <c r="A336" t="s">
        <v>45</v>
      </c>
    </row>
    <row r="337" spans="1:1" x14ac:dyDescent="0.25">
      <c r="A337" t="s">
        <v>291</v>
      </c>
    </row>
    <row r="338" spans="1:1" x14ac:dyDescent="0.25">
      <c r="A338" t="s">
        <v>292</v>
      </c>
    </row>
    <row r="339" spans="1:1" x14ac:dyDescent="0.25">
      <c r="A339" t="s">
        <v>293</v>
      </c>
    </row>
    <row r="340" spans="1:1" x14ac:dyDescent="0.25">
      <c r="A340" t="s">
        <v>294</v>
      </c>
    </row>
    <row r="341" spans="1:1" x14ac:dyDescent="0.25">
      <c r="A341" t="s">
        <v>295</v>
      </c>
    </row>
    <row r="342" spans="1:1" x14ac:dyDescent="0.25">
      <c r="A342" t="s">
        <v>296</v>
      </c>
    </row>
    <row r="346" spans="1:1" x14ac:dyDescent="0.25">
      <c r="A346" t="s">
        <v>320</v>
      </c>
    </row>
    <row r="347" spans="1:1" x14ac:dyDescent="0.25">
      <c r="A347" t="s">
        <v>299</v>
      </c>
    </row>
    <row r="348" spans="1:1" x14ac:dyDescent="0.25">
      <c r="A348" t="s">
        <v>300</v>
      </c>
    </row>
    <row r="349" spans="1:1" x14ac:dyDescent="0.25">
      <c r="A349" t="s">
        <v>301</v>
      </c>
    </row>
    <row r="350" spans="1:1" x14ac:dyDescent="0.25">
      <c r="A350" t="s">
        <v>302</v>
      </c>
    </row>
    <row r="351" spans="1:1" x14ac:dyDescent="0.25">
      <c r="A351" t="s">
        <v>303</v>
      </c>
    </row>
    <row r="352" spans="1:1" x14ac:dyDescent="0.25">
      <c r="A352" t="s">
        <v>304</v>
      </c>
    </row>
    <row r="353" spans="1:1" x14ac:dyDescent="0.25">
      <c r="A353" t="s">
        <v>305</v>
      </c>
    </row>
    <row r="354" spans="1:1" x14ac:dyDescent="0.25">
      <c r="A354" t="s">
        <v>7</v>
      </c>
    </row>
    <row r="355" spans="1:1" x14ac:dyDescent="0.25">
      <c r="A355" t="s">
        <v>306</v>
      </c>
    </row>
    <row r="356" spans="1:1" x14ac:dyDescent="0.25">
      <c r="A356" t="s">
        <v>307</v>
      </c>
    </row>
    <row r="357" spans="1:1" x14ac:dyDescent="0.25">
      <c r="A357" t="s">
        <v>308</v>
      </c>
    </row>
    <row r="358" spans="1:1" x14ac:dyDescent="0.25">
      <c r="A358" t="s">
        <v>309</v>
      </c>
    </row>
    <row r="359" spans="1:1" x14ac:dyDescent="0.25">
      <c r="A359" t="s">
        <v>310</v>
      </c>
    </row>
    <row r="360" spans="1:1" x14ac:dyDescent="0.25">
      <c r="A360" t="s">
        <v>311</v>
      </c>
    </row>
    <row r="361" spans="1:1" x14ac:dyDescent="0.25">
      <c r="A361" t="s">
        <v>13</v>
      </c>
    </row>
    <row r="362" spans="1:1" x14ac:dyDescent="0.25">
      <c r="A362" t="s">
        <v>312</v>
      </c>
    </row>
    <row r="363" spans="1:1" x14ac:dyDescent="0.25">
      <c r="A363" t="s">
        <v>313</v>
      </c>
    </row>
    <row r="364" spans="1:1" x14ac:dyDescent="0.25">
      <c r="A364" t="s">
        <v>314</v>
      </c>
    </row>
    <row r="366" spans="1:1" x14ac:dyDescent="0.25">
      <c r="A366" t="s">
        <v>43</v>
      </c>
    </row>
    <row r="367" spans="1:1" x14ac:dyDescent="0.25">
      <c r="A367" t="s">
        <v>315</v>
      </c>
    </row>
    <row r="368" spans="1:1" x14ac:dyDescent="0.25">
      <c r="A368" t="s">
        <v>45</v>
      </c>
    </row>
    <row r="369" spans="1:1" x14ac:dyDescent="0.25">
      <c r="A369" t="s">
        <v>316</v>
      </c>
    </row>
    <row r="370" spans="1:1" x14ac:dyDescent="0.25">
      <c r="A370" t="s">
        <v>317</v>
      </c>
    </row>
    <row r="371" spans="1:1" x14ac:dyDescent="0.25">
      <c r="A371" t="s">
        <v>318</v>
      </c>
    </row>
    <row r="372" spans="1:1" x14ac:dyDescent="0.25">
      <c r="A372" t="s">
        <v>319</v>
      </c>
    </row>
    <row r="374" spans="1:1" x14ac:dyDescent="0.25">
      <c r="A374" t="s">
        <v>340</v>
      </c>
    </row>
    <row r="375" spans="1:1" x14ac:dyDescent="0.25">
      <c r="A375" t="s">
        <v>323</v>
      </c>
    </row>
    <row r="376" spans="1:1" x14ac:dyDescent="0.25">
      <c r="A376" t="s">
        <v>324</v>
      </c>
    </row>
    <row r="377" spans="1:1" x14ac:dyDescent="0.25">
      <c r="A377" t="s">
        <v>325</v>
      </c>
    </row>
    <row r="378" spans="1:1" x14ac:dyDescent="0.25">
      <c r="A378" t="s">
        <v>326</v>
      </c>
    </row>
    <row r="379" spans="1:1" x14ac:dyDescent="0.25">
      <c r="A379" t="s">
        <v>7</v>
      </c>
    </row>
    <row r="380" spans="1:1" x14ac:dyDescent="0.25">
      <c r="A380" t="s">
        <v>327</v>
      </c>
    </row>
    <row r="381" spans="1:1" x14ac:dyDescent="0.25">
      <c r="A381" t="s">
        <v>328</v>
      </c>
    </row>
    <row r="382" spans="1:1" x14ac:dyDescent="0.25">
      <c r="A382" t="s">
        <v>329</v>
      </c>
    </row>
    <row r="383" spans="1:1" x14ac:dyDescent="0.25">
      <c r="A383" t="s">
        <v>330</v>
      </c>
    </row>
    <row r="384" spans="1:1" x14ac:dyDescent="0.25">
      <c r="A384" t="s">
        <v>331</v>
      </c>
    </row>
    <row r="385" spans="1:1" x14ac:dyDescent="0.25">
      <c r="A385" t="s">
        <v>332</v>
      </c>
    </row>
    <row r="386" spans="1:1" x14ac:dyDescent="0.25">
      <c r="A386" t="s">
        <v>13</v>
      </c>
    </row>
    <row r="387" spans="1:1" x14ac:dyDescent="0.25">
      <c r="A387" t="s">
        <v>333</v>
      </c>
    </row>
    <row r="388" spans="1:1" x14ac:dyDescent="0.25">
      <c r="A388" t="s">
        <v>334</v>
      </c>
    </row>
    <row r="390" spans="1:1" x14ac:dyDescent="0.25">
      <c r="A390" t="s">
        <v>43</v>
      </c>
    </row>
    <row r="391" spans="1:1" x14ac:dyDescent="0.25">
      <c r="A391" t="s">
        <v>335</v>
      </c>
    </row>
    <row r="392" spans="1:1" x14ac:dyDescent="0.25">
      <c r="A392" t="s">
        <v>45</v>
      </c>
    </row>
    <row r="393" spans="1:1" x14ac:dyDescent="0.25">
      <c r="A393" t="s">
        <v>336</v>
      </c>
    </row>
    <row r="394" spans="1:1" x14ac:dyDescent="0.25">
      <c r="A394" t="s">
        <v>337</v>
      </c>
    </row>
    <row r="395" spans="1:1" x14ac:dyDescent="0.25">
      <c r="A395" t="s">
        <v>338</v>
      </c>
    </row>
    <row r="396" spans="1:1" x14ac:dyDescent="0.25">
      <c r="A396" t="s">
        <v>339</v>
      </c>
    </row>
    <row r="399" spans="1:1" x14ac:dyDescent="0.25">
      <c r="A399" t="s">
        <v>360</v>
      </c>
    </row>
    <row r="400" spans="1:1" x14ac:dyDescent="0.25">
      <c r="A400" t="s">
        <v>342</v>
      </c>
    </row>
    <row r="401" spans="1:1" x14ac:dyDescent="0.25">
      <c r="A401" t="s">
        <v>343</v>
      </c>
    </row>
    <row r="402" spans="1:1" x14ac:dyDescent="0.25">
      <c r="A402" t="s">
        <v>344</v>
      </c>
    </row>
    <row r="403" spans="1:1" x14ac:dyDescent="0.25">
      <c r="A403" t="s">
        <v>345</v>
      </c>
    </row>
    <row r="404" spans="1:1" x14ac:dyDescent="0.25">
      <c r="A404" t="s">
        <v>346</v>
      </c>
    </row>
    <row r="405" spans="1:1" x14ac:dyDescent="0.25">
      <c r="A405" t="s">
        <v>347</v>
      </c>
    </row>
    <row r="406" spans="1:1" x14ac:dyDescent="0.25">
      <c r="A406" t="s">
        <v>348</v>
      </c>
    </row>
    <row r="407" spans="1:1" x14ac:dyDescent="0.25">
      <c r="A407" t="s">
        <v>7</v>
      </c>
    </row>
    <row r="408" spans="1:1" x14ac:dyDescent="0.25">
      <c r="A408" t="s">
        <v>349</v>
      </c>
    </row>
    <row r="409" spans="1:1" x14ac:dyDescent="0.25">
      <c r="A409" t="s">
        <v>350</v>
      </c>
    </row>
    <row r="410" spans="1:1" x14ac:dyDescent="0.25">
      <c r="A410" t="s">
        <v>351</v>
      </c>
    </row>
    <row r="411" spans="1:1" x14ac:dyDescent="0.25">
      <c r="A411" t="s">
        <v>352</v>
      </c>
    </row>
    <row r="412" spans="1:1" x14ac:dyDescent="0.25">
      <c r="A412" t="s">
        <v>13</v>
      </c>
    </row>
    <row r="413" spans="1:1" x14ac:dyDescent="0.25">
      <c r="A413" t="s">
        <v>353</v>
      </c>
    </row>
    <row r="414" spans="1:1" x14ac:dyDescent="0.25">
      <c r="A414" t="s">
        <v>354</v>
      </c>
    </row>
    <row r="416" spans="1:1" x14ac:dyDescent="0.25">
      <c r="A416" t="s">
        <v>43</v>
      </c>
    </row>
    <row r="417" spans="1:1" x14ac:dyDescent="0.25">
      <c r="A417" t="s">
        <v>355</v>
      </c>
    </row>
    <row r="418" spans="1:1" x14ac:dyDescent="0.25">
      <c r="A418" t="s">
        <v>45</v>
      </c>
    </row>
    <row r="419" spans="1:1" x14ac:dyDescent="0.25">
      <c r="A419" t="s">
        <v>356</v>
      </c>
    </row>
    <row r="420" spans="1:1" x14ac:dyDescent="0.25">
      <c r="A420" t="s">
        <v>357</v>
      </c>
    </row>
    <row r="421" spans="1:1" x14ac:dyDescent="0.25">
      <c r="A421" t="s">
        <v>358</v>
      </c>
    </row>
    <row r="422" spans="1:1" x14ac:dyDescent="0.25">
      <c r="A422" t="s">
        <v>359</v>
      </c>
    </row>
    <row r="425" spans="1:1" x14ac:dyDescent="0.25">
      <c r="A425" t="s">
        <v>380</v>
      </c>
    </row>
    <row r="426" spans="1:1" x14ac:dyDescent="0.25">
      <c r="A426" t="s">
        <v>363</v>
      </c>
    </row>
    <row r="427" spans="1:1" x14ac:dyDescent="0.25">
      <c r="A427" t="s">
        <v>82</v>
      </c>
    </row>
    <row r="428" spans="1:1" x14ac:dyDescent="0.25">
      <c r="A428" t="s">
        <v>364</v>
      </c>
    </row>
    <row r="429" spans="1:1" x14ac:dyDescent="0.25">
      <c r="A429" t="s">
        <v>365</v>
      </c>
    </row>
    <row r="430" spans="1:1" x14ac:dyDescent="0.25">
      <c r="A430" t="s">
        <v>366</v>
      </c>
    </row>
    <row r="431" spans="1:1" x14ac:dyDescent="0.25">
      <c r="A431" t="s">
        <v>367</v>
      </c>
    </row>
    <row r="432" spans="1:1" x14ac:dyDescent="0.25">
      <c r="A432" t="s">
        <v>368</v>
      </c>
    </row>
    <row r="433" spans="1:1" x14ac:dyDescent="0.25">
      <c r="A433" t="s">
        <v>7</v>
      </c>
    </row>
    <row r="434" spans="1:1" x14ac:dyDescent="0.25">
      <c r="A434" t="s">
        <v>369</v>
      </c>
    </row>
    <row r="435" spans="1:1" x14ac:dyDescent="0.25">
      <c r="A435" t="s">
        <v>370</v>
      </c>
    </row>
    <row r="436" spans="1:1" x14ac:dyDescent="0.25">
      <c r="A436" t="s">
        <v>371</v>
      </c>
    </row>
    <row r="437" spans="1:1" x14ac:dyDescent="0.25">
      <c r="A437" t="s">
        <v>372</v>
      </c>
    </row>
    <row r="438" spans="1:1" x14ac:dyDescent="0.25">
      <c r="A438" t="s">
        <v>13</v>
      </c>
    </row>
    <row r="439" spans="1:1" x14ac:dyDescent="0.25">
      <c r="A439" t="s">
        <v>373</v>
      </c>
    </row>
    <row r="440" spans="1:1" x14ac:dyDescent="0.25">
      <c r="A440" t="s">
        <v>374</v>
      </c>
    </row>
    <row r="442" spans="1:1" x14ac:dyDescent="0.25">
      <c r="A442" t="s">
        <v>43</v>
      </c>
    </row>
    <row r="443" spans="1:1" x14ac:dyDescent="0.25">
      <c r="A443" t="s">
        <v>375</v>
      </c>
    </row>
    <row r="444" spans="1:1" x14ac:dyDescent="0.25">
      <c r="A444" t="s">
        <v>45</v>
      </c>
    </row>
    <row r="445" spans="1:1" x14ac:dyDescent="0.25">
      <c r="A445" t="s">
        <v>376</v>
      </c>
    </row>
    <row r="446" spans="1:1" x14ac:dyDescent="0.25">
      <c r="A446" t="s">
        <v>377</v>
      </c>
    </row>
    <row r="447" spans="1:1" x14ac:dyDescent="0.25">
      <c r="A447" t="s">
        <v>378</v>
      </c>
    </row>
    <row r="448" spans="1:1" x14ac:dyDescent="0.25">
      <c r="A448" t="s">
        <v>379</v>
      </c>
    </row>
    <row r="451" spans="1:1" x14ac:dyDescent="0.25">
      <c r="A451" t="s">
        <v>407</v>
      </c>
    </row>
    <row r="452" spans="1:1" x14ac:dyDescent="0.25">
      <c r="A452" t="s">
        <v>384</v>
      </c>
    </row>
    <row r="453" spans="1:1" x14ac:dyDescent="0.25">
      <c r="A453" t="s">
        <v>385</v>
      </c>
    </row>
    <row r="454" spans="1:1" x14ac:dyDescent="0.25">
      <c r="A454" t="s">
        <v>386</v>
      </c>
    </row>
    <row r="455" spans="1:1" x14ac:dyDescent="0.25">
      <c r="A455" t="s">
        <v>7</v>
      </c>
    </row>
    <row r="456" spans="1:1" x14ac:dyDescent="0.25">
      <c r="A456" t="s">
        <v>387</v>
      </c>
    </row>
    <row r="457" spans="1:1" x14ac:dyDescent="0.25">
      <c r="A457" t="s">
        <v>388</v>
      </c>
    </row>
    <row r="458" spans="1:1" x14ac:dyDescent="0.25">
      <c r="A458" t="s">
        <v>389</v>
      </c>
    </row>
    <row r="459" spans="1:1" x14ac:dyDescent="0.25">
      <c r="A459" t="s">
        <v>390</v>
      </c>
    </row>
    <row r="460" spans="1:1" x14ac:dyDescent="0.25">
      <c r="A460" t="s">
        <v>391</v>
      </c>
    </row>
    <row r="461" spans="1:1" x14ac:dyDescent="0.25">
      <c r="A461" t="s">
        <v>392</v>
      </c>
    </row>
    <row r="462" spans="1:1" x14ac:dyDescent="0.25">
      <c r="A462" t="s">
        <v>393</v>
      </c>
    </row>
    <row r="463" spans="1:1" x14ac:dyDescent="0.25">
      <c r="A463" t="s">
        <v>394</v>
      </c>
    </row>
    <row r="464" spans="1:1" x14ac:dyDescent="0.25">
      <c r="A464" t="s">
        <v>395</v>
      </c>
    </row>
    <row r="465" spans="1:1" x14ac:dyDescent="0.25">
      <c r="A465" t="s">
        <v>396</v>
      </c>
    </row>
    <row r="466" spans="1:1" x14ac:dyDescent="0.25">
      <c r="A466" t="s">
        <v>397</v>
      </c>
    </row>
    <row r="467" spans="1:1" x14ac:dyDescent="0.25">
      <c r="A467" t="s">
        <v>13</v>
      </c>
    </row>
    <row r="468" spans="1:1" x14ac:dyDescent="0.25">
      <c r="A468" t="s">
        <v>398</v>
      </c>
    </row>
    <row r="469" spans="1:1" x14ac:dyDescent="0.25">
      <c r="A469" t="s">
        <v>399</v>
      </c>
    </row>
    <row r="470" spans="1:1" x14ac:dyDescent="0.25">
      <c r="A470" t="s">
        <v>400</v>
      </c>
    </row>
    <row r="471" spans="1:1" x14ac:dyDescent="0.25">
      <c r="A471" t="s">
        <v>401</v>
      </c>
    </row>
    <row r="473" spans="1:1" x14ac:dyDescent="0.25">
      <c r="A473" t="s">
        <v>43</v>
      </c>
    </row>
    <row r="474" spans="1:1" x14ac:dyDescent="0.25">
      <c r="A474" t="s">
        <v>402</v>
      </c>
    </row>
    <row r="475" spans="1:1" x14ac:dyDescent="0.25">
      <c r="A475" t="s">
        <v>179</v>
      </c>
    </row>
    <row r="476" spans="1:1" x14ac:dyDescent="0.25">
      <c r="A476" t="s">
        <v>403</v>
      </c>
    </row>
    <row r="477" spans="1:1" x14ac:dyDescent="0.25">
      <c r="A477" t="s">
        <v>404</v>
      </c>
    </row>
    <row r="478" spans="1:1" x14ac:dyDescent="0.25">
      <c r="A478" t="s">
        <v>405</v>
      </c>
    </row>
    <row r="479" spans="1:1" x14ac:dyDescent="0.25">
      <c r="A479" t="s">
        <v>406</v>
      </c>
    </row>
    <row r="482" spans="1:1" x14ac:dyDescent="0.25">
      <c r="A482" t="s">
        <v>432</v>
      </c>
    </row>
    <row r="483" spans="1:1" x14ac:dyDescent="0.25">
      <c r="A483" t="s">
        <v>413</v>
      </c>
    </row>
    <row r="484" spans="1:1" x14ac:dyDescent="0.25">
      <c r="A484" t="s">
        <v>414</v>
      </c>
    </row>
    <row r="485" spans="1:1" x14ac:dyDescent="0.25">
      <c r="A485" t="s">
        <v>415</v>
      </c>
    </row>
    <row r="486" spans="1:1" x14ac:dyDescent="0.25">
      <c r="A486" t="s">
        <v>7</v>
      </c>
    </row>
    <row r="487" spans="1:1" x14ac:dyDescent="0.25">
      <c r="A487" t="s">
        <v>416</v>
      </c>
    </row>
    <row r="488" spans="1:1" x14ac:dyDescent="0.25">
      <c r="A488" t="s">
        <v>417</v>
      </c>
    </row>
    <row r="489" spans="1:1" x14ac:dyDescent="0.25">
      <c r="A489" t="s">
        <v>418</v>
      </c>
    </row>
    <row r="490" spans="1:1" x14ac:dyDescent="0.25">
      <c r="A490" t="s">
        <v>419</v>
      </c>
    </row>
    <row r="491" spans="1:1" x14ac:dyDescent="0.25">
      <c r="A491" t="s">
        <v>420</v>
      </c>
    </row>
    <row r="492" spans="1:1" x14ac:dyDescent="0.25">
      <c r="A492" t="s">
        <v>421</v>
      </c>
    </row>
    <row r="493" spans="1:1" x14ac:dyDescent="0.25">
      <c r="A493" t="s">
        <v>422</v>
      </c>
    </row>
    <row r="494" spans="1:1" x14ac:dyDescent="0.25">
      <c r="A494" t="s">
        <v>423</v>
      </c>
    </row>
    <row r="495" spans="1:1" x14ac:dyDescent="0.25">
      <c r="A495" t="s">
        <v>13</v>
      </c>
    </row>
    <row r="496" spans="1:1" x14ac:dyDescent="0.25">
      <c r="A496" t="s">
        <v>424</v>
      </c>
    </row>
    <row r="497" spans="1:1" x14ac:dyDescent="0.25">
      <c r="A497" t="s">
        <v>425</v>
      </c>
    </row>
    <row r="498" spans="1:1" x14ac:dyDescent="0.25">
      <c r="A498" t="s">
        <v>426</v>
      </c>
    </row>
    <row r="500" spans="1:1" x14ac:dyDescent="0.25">
      <c r="A500" t="s">
        <v>43</v>
      </c>
    </row>
    <row r="501" spans="1:1" x14ac:dyDescent="0.25">
      <c r="A501" t="s">
        <v>427</v>
      </c>
    </row>
    <row r="502" spans="1:1" x14ac:dyDescent="0.25">
      <c r="A502" t="s">
        <v>179</v>
      </c>
    </row>
    <row r="503" spans="1:1" x14ac:dyDescent="0.25">
      <c r="A503" t="s">
        <v>428</v>
      </c>
    </row>
    <row r="504" spans="1:1" x14ac:dyDescent="0.25">
      <c r="A504" t="s">
        <v>429</v>
      </c>
    </row>
    <row r="505" spans="1:1" x14ac:dyDescent="0.25">
      <c r="A505" t="s">
        <v>430</v>
      </c>
    </row>
    <row r="506" spans="1:1" x14ac:dyDescent="0.25">
      <c r="A506" t="s">
        <v>431</v>
      </c>
    </row>
    <row r="510" spans="1:1" x14ac:dyDescent="0.25">
      <c r="A510" t="s">
        <v>980</v>
      </c>
    </row>
    <row r="511" spans="1:1" x14ac:dyDescent="0.25">
      <c r="A511" t="s">
        <v>962</v>
      </c>
    </row>
    <row r="512" spans="1:1" x14ac:dyDescent="0.25">
      <c r="A512" t="s">
        <v>158</v>
      </c>
    </row>
    <row r="513" spans="1:1" x14ac:dyDescent="0.25">
      <c r="A513" t="s">
        <v>963</v>
      </c>
    </row>
    <row r="514" spans="1:1" x14ac:dyDescent="0.25">
      <c r="A514" t="s">
        <v>368</v>
      </c>
    </row>
    <row r="515" spans="1:1" x14ac:dyDescent="0.25">
      <c r="A515" t="s">
        <v>7</v>
      </c>
    </row>
    <row r="516" spans="1:1" x14ac:dyDescent="0.25">
      <c r="A516" t="s">
        <v>964</v>
      </c>
    </row>
    <row r="517" spans="1:1" x14ac:dyDescent="0.25">
      <c r="A517" t="s">
        <v>965</v>
      </c>
    </row>
    <row r="518" spans="1:1" x14ac:dyDescent="0.25">
      <c r="A518" t="s">
        <v>966</v>
      </c>
    </row>
    <row r="519" spans="1:1" x14ac:dyDescent="0.25">
      <c r="A519" t="s">
        <v>967</v>
      </c>
    </row>
    <row r="520" spans="1:1" x14ac:dyDescent="0.25">
      <c r="A520" t="s">
        <v>968</v>
      </c>
    </row>
    <row r="521" spans="1:1" x14ac:dyDescent="0.25">
      <c r="A521" t="s">
        <v>13</v>
      </c>
    </row>
    <row r="522" spans="1:1" x14ac:dyDescent="0.25">
      <c r="A522" t="s">
        <v>969</v>
      </c>
    </row>
    <row r="523" spans="1:1" x14ac:dyDescent="0.25">
      <c r="A523" t="s">
        <v>970</v>
      </c>
    </row>
    <row r="524" spans="1:1" x14ac:dyDescent="0.25">
      <c r="A524" t="s">
        <v>971</v>
      </c>
    </row>
    <row r="526" spans="1:1" x14ac:dyDescent="0.25">
      <c r="A526" t="s">
        <v>43</v>
      </c>
    </row>
    <row r="527" spans="1:1" x14ac:dyDescent="0.25">
      <c r="A527" t="s">
        <v>972</v>
      </c>
    </row>
    <row r="528" spans="1:1" x14ac:dyDescent="0.25">
      <c r="A528" t="s">
        <v>45</v>
      </c>
    </row>
    <row r="529" spans="1:1" x14ac:dyDescent="0.25">
      <c r="A529" t="s">
        <v>973</v>
      </c>
    </row>
    <row r="530" spans="1:1" x14ac:dyDescent="0.25">
      <c r="A530" t="s">
        <v>974</v>
      </c>
    </row>
    <row r="531" spans="1:1" x14ac:dyDescent="0.25">
      <c r="A531" t="s">
        <v>975</v>
      </c>
    </row>
    <row r="532" spans="1:1" x14ac:dyDescent="0.25">
      <c r="A532" t="s">
        <v>976</v>
      </c>
    </row>
    <row r="533" spans="1:1" x14ac:dyDescent="0.25">
      <c r="A533" t="s">
        <v>977</v>
      </c>
    </row>
    <row r="534" spans="1:1" x14ac:dyDescent="0.25">
      <c r="A534" t="s">
        <v>978</v>
      </c>
    </row>
    <row r="535" spans="1:1" x14ac:dyDescent="0.25">
      <c r="A535" t="s">
        <v>979</v>
      </c>
    </row>
    <row r="539" spans="1:1" x14ac:dyDescent="0.25">
      <c r="A539" t="s">
        <v>1008</v>
      </c>
    </row>
    <row r="540" spans="1:1" x14ac:dyDescent="0.25">
      <c r="A540" t="s">
        <v>982</v>
      </c>
    </row>
    <row r="541" spans="1:1" x14ac:dyDescent="0.25">
      <c r="A541" t="s">
        <v>983</v>
      </c>
    </row>
    <row r="542" spans="1:1" x14ac:dyDescent="0.25">
      <c r="A542" t="s">
        <v>984</v>
      </c>
    </row>
    <row r="543" spans="1:1" x14ac:dyDescent="0.25">
      <c r="A543" t="s">
        <v>985</v>
      </c>
    </row>
    <row r="544" spans="1:1" x14ac:dyDescent="0.25">
      <c r="A544" t="s">
        <v>986</v>
      </c>
    </row>
    <row r="545" spans="1:1" x14ac:dyDescent="0.25">
      <c r="A545" t="s">
        <v>7</v>
      </c>
    </row>
    <row r="546" spans="1:1" x14ac:dyDescent="0.25">
      <c r="A546" t="s">
        <v>987</v>
      </c>
    </row>
    <row r="547" spans="1:1" x14ac:dyDescent="0.25">
      <c r="A547" t="s">
        <v>988</v>
      </c>
    </row>
    <row r="548" spans="1:1" x14ac:dyDescent="0.25">
      <c r="A548" t="s">
        <v>989</v>
      </c>
    </row>
    <row r="549" spans="1:1" x14ac:dyDescent="0.25">
      <c r="A549" t="s">
        <v>990</v>
      </c>
    </row>
    <row r="550" spans="1:1" x14ac:dyDescent="0.25">
      <c r="A550" t="s">
        <v>991</v>
      </c>
    </row>
    <row r="551" spans="1:1" x14ac:dyDescent="0.25">
      <c r="A551" t="s">
        <v>992</v>
      </c>
    </row>
    <row r="552" spans="1:1" x14ac:dyDescent="0.25">
      <c r="A552" t="s">
        <v>993</v>
      </c>
    </row>
    <row r="553" spans="1:1" x14ac:dyDescent="0.25">
      <c r="A553" t="s">
        <v>994</v>
      </c>
    </row>
    <row r="554" spans="1:1" x14ac:dyDescent="0.25">
      <c r="A554" t="s">
        <v>995</v>
      </c>
    </row>
    <row r="555" spans="1:1" x14ac:dyDescent="0.25">
      <c r="A555" t="s">
        <v>13</v>
      </c>
    </row>
    <row r="556" spans="1:1" x14ac:dyDescent="0.25">
      <c r="A556" t="s">
        <v>996</v>
      </c>
    </row>
    <row r="557" spans="1:1" x14ac:dyDescent="0.25">
      <c r="A557" t="s">
        <v>997</v>
      </c>
    </row>
    <row r="558" spans="1:1" x14ac:dyDescent="0.25">
      <c r="A558" t="s">
        <v>998</v>
      </c>
    </row>
    <row r="559" spans="1:1" x14ac:dyDescent="0.25">
      <c r="A559" t="s">
        <v>999</v>
      </c>
    </row>
    <row r="561" spans="1:1" x14ac:dyDescent="0.25">
      <c r="A561" t="s">
        <v>43</v>
      </c>
    </row>
    <row r="562" spans="1:1" x14ac:dyDescent="0.25">
      <c r="A562" t="s">
        <v>1000</v>
      </c>
    </row>
    <row r="563" spans="1:1" x14ac:dyDescent="0.25">
      <c r="A563" t="s">
        <v>179</v>
      </c>
    </row>
    <row r="564" spans="1:1" x14ac:dyDescent="0.25">
      <c r="A564" t="s">
        <v>1001</v>
      </c>
    </row>
    <row r="565" spans="1:1" x14ac:dyDescent="0.25">
      <c r="A565" t="s">
        <v>1002</v>
      </c>
    </row>
    <row r="566" spans="1:1" x14ac:dyDescent="0.25">
      <c r="A566" t="s">
        <v>1003</v>
      </c>
    </row>
    <row r="567" spans="1:1" x14ac:dyDescent="0.25">
      <c r="A567" t="s">
        <v>1004</v>
      </c>
    </row>
    <row r="568" spans="1:1" x14ac:dyDescent="0.25">
      <c r="A568" t="s">
        <v>1005</v>
      </c>
    </row>
    <row r="569" spans="1:1" x14ac:dyDescent="0.25">
      <c r="A569" t="s">
        <v>1006</v>
      </c>
    </row>
    <row r="570" spans="1:1" x14ac:dyDescent="0.25">
      <c r="A570" t="s">
        <v>1007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58DC-3E88-4D74-8B41-BC882A41BD9D}">
  <dimension ref="A1:A830"/>
  <sheetViews>
    <sheetView topLeftCell="A82" workbookViewId="0">
      <selection activeCell="A814" sqref="A814:H826"/>
    </sheetView>
  </sheetViews>
  <sheetFormatPr defaultRowHeight="15" x14ac:dyDescent="0.25"/>
  <sheetData>
    <row r="1" spans="1:1" x14ac:dyDescent="0.25">
      <c r="A1" t="s">
        <v>439</v>
      </c>
    </row>
    <row r="2" spans="1:1" x14ac:dyDescent="0.25">
      <c r="A2" t="s">
        <v>440</v>
      </c>
    </row>
    <row r="4" spans="1:1" x14ac:dyDescent="0.25">
      <c r="A4" t="s">
        <v>441</v>
      </c>
    </row>
    <row r="5" spans="1:1" x14ac:dyDescent="0.25">
      <c r="A5" t="s">
        <v>442</v>
      </c>
    </row>
    <row r="6" spans="1:1" x14ac:dyDescent="0.25">
      <c r="A6" t="s">
        <v>443</v>
      </c>
    </row>
    <row r="8" spans="1:1" x14ac:dyDescent="0.25">
      <c r="A8" t="s">
        <v>444</v>
      </c>
    </row>
    <row r="9" spans="1:1" x14ac:dyDescent="0.25">
      <c r="A9" t="s">
        <v>445</v>
      </c>
    </row>
    <row r="10" spans="1:1" x14ac:dyDescent="0.25">
      <c r="A10" t="s">
        <v>446</v>
      </c>
    </row>
    <row r="11" spans="1:1" x14ac:dyDescent="0.25">
      <c r="A11" t="s">
        <v>7</v>
      </c>
    </row>
    <row r="12" spans="1:1" x14ac:dyDescent="0.25">
      <c r="A12" t="s">
        <v>447</v>
      </c>
    </row>
    <row r="13" spans="1:1" x14ac:dyDescent="0.25">
      <c r="A13" t="s">
        <v>448</v>
      </c>
    </row>
    <row r="14" spans="1:1" x14ac:dyDescent="0.25">
      <c r="A14" t="s">
        <v>449</v>
      </c>
    </row>
    <row r="15" spans="1:1" x14ac:dyDescent="0.25">
      <c r="A15" t="s">
        <v>450</v>
      </c>
    </row>
    <row r="16" spans="1:1" x14ac:dyDescent="0.25">
      <c r="A16" t="s">
        <v>451</v>
      </c>
    </row>
    <row r="17" spans="1:1" x14ac:dyDescent="0.25">
      <c r="A17" t="s">
        <v>452</v>
      </c>
    </row>
    <row r="18" spans="1:1" x14ac:dyDescent="0.25">
      <c r="A18" t="s">
        <v>13</v>
      </c>
    </row>
    <row r="20" spans="1:1" x14ac:dyDescent="0.25">
      <c r="A20" t="s">
        <v>453</v>
      </c>
    </row>
    <row r="21" spans="1:1" x14ac:dyDescent="0.25">
      <c r="A21" t="s">
        <v>454</v>
      </c>
    </row>
    <row r="22" spans="1:1" x14ac:dyDescent="0.25">
      <c r="A22" t="s">
        <v>455</v>
      </c>
    </row>
    <row r="23" spans="1:1" x14ac:dyDescent="0.25">
      <c r="A23" t="s">
        <v>456</v>
      </c>
    </row>
    <row r="25" spans="1:1" x14ac:dyDescent="0.25">
      <c r="A25" t="s">
        <v>457</v>
      </c>
    </row>
    <row r="27" spans="1:1" x14ac:dyDescent="0.25">
      <c r="A27" t="s">
        <v>458</v>
      </c>
    </row>
    <row r="28" spans="1:1" x14ac:dyDescent="0.25">
      <c r="A28" t="s">
        <v>459</v>
      </c>
    </row>
    <row r="29" spans="1:1" x14ac:dyDescent="0.25">
      <c r="A29" t="s">
        <v>460</v>
      </c>
    </row>
    <row r="30" spans="1:1" x14ac:dyDescent="0.25">
      <c r="A30" t="s">
        <v>461</v>
      </c>
    </row>
    <row r="32" spans="1:1" x14ac:dyDescent="0.25">
      <c r="A32" t="s">
        <v>462</v>
      </c>
    </row>
    <row r="33" spans="1:1" x14ac:dyDescent="0.25">
      <c r="A33" t="s">
        <v>463</v>
      </c>
    </row>
    <row r="34" spans="1:1" x14ac:dyDescent="0.25">
      <c r="A34" t="s">
        <v>464</v>
      </c>
    </row>
    <row r="35" spans="1:1" x14ac:dyDescent="0.25">
      <c r="A35" t="s">
        <v>465</v>
      </c>
    </row>
    <row r="37" spans="1:1" x14ac:dyDescent="0.25">
      <c r="A37" t="s">
        <v>466</v>
      </c>
    </row>
    <row r="38" spans="1:1" x14ac:dyDescent="0.25">
      <c r="A38" t="s">
        <v>467</v>
      </c>
    </row>
    <row r="39" spans="1:1" x14ac:dyDescent="0.25">
      <c r="A39" t="s">
        <v>468</v>
      </c>
    </row>
    <row r="40" spans="1:1" x14ac:dyDescent="0.25">
      <c r="A40" t="s">
        <v>469</v>
      </c>
    </row>
    <row r="42" spans="1:1" x14ac:dyDescent="0.25">
      <c r="A42" t="s">
        <v>470</v>
      </c>
    </row>
    <row r="43" spans="1:1" x14ac:dyDescent="0.25">
      <c r="A43" t="s">
        <v>471</v>
      </c>
    </row>
    <row r="44" spans="1:1" x14ac:dyDescent="0.25">
      <c r="A44" t="s">
        <v>472</v>
      </c>
    </row>
    <row r="45" spans="1:1" x14ac:dyDescent="0.25">
      <c r="A45" t="s">
        <v>473</v>
      </c>
    </row>
    <row r="46" spans="1:1" x14ac:dyDescent="0.25">
      <c r="A46" t="s">
        <v>474</v>
      </c>
    </row>
    <row r="47" spans="1:1" x14ac:dyDescent="0.25">
      <c r="A47" t="s">
        <v>475</v>
      </c>
    </row>
    <row r="48" spans="1:1" x14ac:dyDescent="0.25">
      <c r="A48" t="s">
        <v>476</v>
      </c>
    </row>
    <row r="50" spans="1:1" x14ac:dyDescent="0.25">
      <c r="A50" t="s">
        <v>434</v>
      </c>
    </row>
    <row r="51" spans="1:1" x14ac:dyDescent="0.25">
      <c r="A51" t="s">
        <v>477</v>
      </c>
    </row>
    <row r="52" spans="1:1" x14ac:dyDescent="0.25">
      <c r="A52" t="s">
        <v>478</v>
      </c>
    </row>
    <row r="53" spans="1:1" x14ac:dyDescent="0.25">
      <c r="A53" t="s">
        <v>479</v>
      </c>
    </row>
    <row r="55" spans="1:1" x14ac:dyDescent="0.25">
      <c r="A55" t="s">
        <v>43</v>
      </c>
    </row>
    <row r="56" spans="1:1" x14ac:dyDescent="0.25">
      <c r="A56" t="s">
        <v>480</v>
      </c>
    </row>
    <row r="57" spans="1:1" x14ac:dyDescent="0.25">
      <c r="A57" t="s">
        <v>45</v>
      </c>
    </row>
    <row r="58" spans="1:1" x14ac:dyDescent="0.25">
      <c r="A58" t="s">
        <v>481</v>
      </c>
    </row>
    <row r="59" spans="1:1" x14ac:dyDescent="0.25">
      <c r="A59" t="s">
        <v>482</v>
      </c>
    </row>
    <row r="60" spans="1:1" x14ac:dyDescent="0.25">
      <c r="A60" t="s">
        <v>483</v>
      </c>
    </row>
    <row r="61" spans="1:1" x14ac:dyDescent="0.25">
      <c r="A61" t="s">
        <v>484</v>
      </c>
    </row>
    <row r="62" spans="1:1" x14ac:dyDescent="0.25">
      <c r="A62" t="s">
        <v>485</v>
      </c>
    </row>
    <row r="63" spans="1:1" x14ac:dyDescent="0.25">
      <c r="A63" t="s">
        <v>486</v>
      </c>
    </row>
    <row r="64" spans="1:1" x14ac:dyDescent="0.25">
      <c r="A64" t="s">
        <v>487</v>
      </c>
    </row>
    <row r="65" spans="1:1" x14ac:dyDescent="0.25">
      <c r="A65" t="s">
        <v>488</v>
      </c>
    </row>
    <row r="66" spans="1:1" x14ac:dyDescent="0.25">
      <c r="A66" t="s">
        <v>489</v>
      </c>
    </row>
    <row r="68" spans="1:1" x14ac:dyDescent="0.25">
      <c r="A68" t="s">
        <v>435</v>
      </c>
    </row>
    <row r="69" spans="1:1" x14ac:dyDescent="0.25">
      <c r="A69" t="s">
        <v>436</v>
      </c>
    </row>
    <row r="70" spans="1:1" x14ac:dyDescent="0.25">
      <c r="A70" t="s">
        <v>490</v>
      </c>
    </row>
    <row r="71" spans="1:1" x14ac:dyDescent="0.25">
      <c r="A71" t="s">
        <v>491</v>
      </c>
    </row>
    <row r="72" spans="1:1" x14ac:dyDescent="0.25">
      <c r="A72" t="s">
        <v>492</v>
      </c>
    </row>
    <row r="73" spans="1:1" x14ac:dyDescent="0.25">
      <c r="A73" t="s">
        <v>493</v>
      </c>
    </row>
    <row r="74" spans="1:1" x14ac:dyDescent="0.25">
      <c r="A74" t="s">
        <v>437</v>
      </c>
    </row>
    <row r="75" spans="1:1" x14ac:dyDescent="0.25">
      <c r="A75" t="s">
        <v>490</v>
      </c>
    </row>
    <row r="76" spans="1:1" x14ac:dyDescent="0.25">
      <c r="A76" t="s">
        <v>491</v>
      </c>
    </row>
    <row r="77" spans="1:1" x14ac:dyDescent="0.25">
      <c r="A77" t="s">
        <v>494</v>
      </c>
    </row>
    <row r="78" spans="1:1" x14ac:dyDescent="0.25">
      <c r="A78" t="s">
        <v>495</v>
      </c>
    </row>
    <row r="79" spans="1:1" x14ac:dyDescent="0.25">
      <c r="A79" t="s">
        <v>438</v>
      </c>
    </row>
    <row r="80" spans="1:1" x14ac:dyDescent="0.25">
      <c r="A80" t="s">
        <v>490</v>
      </c>
    </row>
    <row r="81" spans="1:1" x14ac:dyDescent="0.25">
      <c r="A81" t="s">
        <v>496</v>
      </c>
    </row>
    <row r="82" spans="1:1" x14ac:dyDescent="0.25">
      <c r="A82" t="s">
        <v>497</v>
      </c>
    </row>
    <row r="83" spans="1:1" x14ac:dyDescent="0.25">
      <c r="A83" t="s">
        <v>498</v>
      </c>
    </row>
    <row r="84" spans="1:1" x14ac:dyDescent="0.25">
      <c r="A84" t="s">
        <v>499</v>
      </c>
    </row>
    <row r="91" spans="1:1" x14ac:dyDescent="0.25">
      <c r="A91" t="s">
        <v>751</v>
      </c>
    </row>
    <row r="92" spans="1:1" x14ac:dyDescent="0.25">
      <c r="A92" t="s">
        <v>503</v>
      </c>
    </row>
    <row r="94" spans="1:1" x14ac:dyDescent="0.25">
      <c r="A94" t="s">
        <v>441</v>
      </c>
    </row>
    <row r="95" spans="1:1" x14ac:dyDescent="0.25">
      <c r="A95" t="s">
        <v>504</v>
      </c>
    </row>
    <row r="96" spans="1:1" x14ac:dyDescent="0.25">
      <c r="A96" t="s">
        <v>505</v>
      </c>
    </row>
    <row r="98" spans="1:1" x14ac:dyDescent="0.25">
      <c r="A98" t="s">
        <v>444</v>
      </c>
    </row>
    <row r="99" spans="1:1" x14ac:dyDescent="0.25">
      <c r="A99" t="s">
        <v>506</v>
      </c>
    </row>
    <row r="100" spans="1:1" x14ac:dyDescent="0.25">
      <c r="A100" t="s">
        <v>507</v>
      </c>
    </row>
    <row r="101" spans="1:1" x14ac:dyDescent="0.25">
      <c r="A101" t="s">
        <v>7</v>
      </c>
    </row>
    <row r="102" spans="1:1" x14ac:dyDescent="0.25">
      <c r="A102" t="s">
        <v>508</v>
      </c>
    </row>
    <row r="103" spans="1:1" x14ac:dyDescent="0.25">
      <c r="A103" t="s">
        <v>509</v>
      </c>
    </row>
    <row r="104" spans="1:1" x14ac:dyDescent="0.25">
      <c r="A104" t="s">
        <v>510</v>
      </c>
    </row>
    <row r="105" spans="1:1" x14ac:dyDescent="0.25">
      <c r="A105" t="s">
        <v>13</v>
      </c>
    </row>
    <row r="107" spans="1:1" x14ac:dyDescent="0.25">
      <c r="A107" t="s">
        <v>453</v>
      </c>
    </row>
    <row r="108" spans="1:1" x14ac:dyDescent="0.25">
      <c r="A108" t="s">
        <v>511</v>
      </c>
    </row>
    <row r="109" spans="1:1" x14ac:dyDescent="0.25">
      <c r="A109" t="s">
        <v>512</v>
      </c>
    </row>
    <row r="110" spans="1:1" x14ac:dyDescent="0.25">
      <c r="A110" t="s">
        <v>513</v>
      </c>
    </row>
    <row r="112" spans="1:1" x14ac:dyDescent="0.25">
      <c r="A112" t="s">
        <v>457</v>
      </c>
    </row>
    <row r="114" spans="1:1" x14ac:dyDescent="0.25">
      <c r="A114" t="s">
        <v>458</v>
      </c>
    </row>
    <row r="115" spans="1:1" x14ac:dyDescent="0.25">
      <c r="A115" t="s">
        <v>514</v>
      </c>
    </row>
    <row r="116" spans="1:1" x14ac:dyDescent="0.25">
      <c r="A116" t="s">
        <v>515</v>
      </c>
    </row>
    <row r="117" spans="1:1" x14ac:dyDescent="0.25">
      <c r="A117" t="s">
        <v>516</v>
      </c>
    </row>
    <row r="119" spans="1:1" x14ac:dyDescent="0.25">
      <c r="A119" t="s">
        <v>462</v>
      </c>
    </row>
    <row r="120" spans="1:1" x14ac:dyDescent="0.25">
      <c r="A120" t="s">
        <v>517</v>
      </c>
    </row>
    <row r="121" spans="1:1" x14ac:dyDescent="0.25">
      <c r="A121" t="s">
        <v>518</v>
      </c>
    </row>
    <row r="122" spans="1:1" x14ac:dyDescent="0.25">
      <c r="A122" t="s">
        <v>519</v>
      </c>
    </row>
    <row r="123" spans="1:1" x14ac:dyDescent="0.25">
      <c r="A123" t="s">
        <v>520</v>
      </c>
    </row>
    <row r="125" spans="1:1" x14ac:dyDescent="0.25">
      <c r="A125" t="s">
        <v>466</v>
      </c>
    </row>
    <row r="126" spans="1:1" x14ac:dyDescent="0.25">
      <c r="A126" t="s">
        <v>521</v>
      </c>
    </row>
    <row r="127" spans="1:1" x14ac:dyDescent="0.25">
      <c r="A127" t="s">
        <v>501</v>
      </c>
    </row>
    <row r="128" spans="1:1" x14ac:dyDescent="0.25">
      <c r="A128" t="s">
        <v>502</v>
      </c>
    </row>
    <row r="130" spans="1:1" x14ac:dyDescent="0.25">
      <c r="A130" t="s">
        <v>470</v>
      </c>
    </row>
    <row r="131" spans="1:1" x14ac:dyDescent="0.25">
      <c r="A131" t="s">
        <v>522</v>
      </c>
    </row>
    <row r="132" spans="1:1" x14ac:dyDescent="0.25">
      <c r="A132" t="s">
        <v>523</v>
      </c>
    </row>
    <row r="133" spans="1:1" x14ac:dyDescent="0.25">
      <c r="A133" t="s">
        <v>524</v>
      </c>
    </row>
    <row r="134" spans="1:1" x14ac:dyDescent="0.25">
      <c r="A134" t="s">
        <v>525</v>
      </c>
    </row>
    <row r="135" spans="1:1" x14ac:dyDescent="0.25">
      <c r="A135" t="s">
        <v>526</v>
      </c>
    </row>
    <row r="137" spans="1:1" x14ac:dyDescent="0.25">
      <c r="A137" t="s">
        <v>434</v>
      </c>
    </row>
    <row r="138" spans="1:1" x14ac:dyDescent="0.25">
      <c r="A138" t="s">
        <v>527</v>
      </c>
    </row>
    <row r="139" spans="1:1" x14ac:dyDescent="0.25">
      <c r="A139" t="s">
        <v>528</v>
      </c>
    </row>
    <row r="140" spans="1:1" x14ac:dyDescent="0.25">
      <c r="A140" t="s">
        <v>529</v>
      </c>
    </row>
    <row r="142" spans="1:1" x14ac:dyDescent="0.25">
      <c r="A142" t="s">
        <v>43</v>
      </c>
    </row>
    <row r="143" spans="1:1" x14ac:dyDescent="0.25">
      <c r="A143" t="s">
        <v>530</v>
      </c>
    </row>
    <row r="144" spans="1:1" x14ac:dyDescent="0.25">
      <c r="A144" t="s">
        <v>45</v>
      </c>
    </row>
    <row r="145" spans="1:1" x14ac:dyDescent="0.25">
      <c r="A145" t="s">
        <v>531</v>
      </c>
    </row>
    <row r="146" spans="1:1" x14ac:dyDescent="0.25">
      <c r="A146" t="s">
        <v>532</v>
      </c>
    </row>
    <row r="147" spans="1:1" x14ac:dyDescent="0.25">
      <c r="A147" t="s">
        <v>533</v>
      </c>
    </row>
    <row r="148" spans="1:1" x14ac:dyDescent="0.25">
      <c r="A148" t="s">
        <v>534</v>
      </c>
    </row>
    <row r="149" spans="1:1" x14ac:dyDescent="0.25">
      <c r="A149" t="s">
        <v>535</v>
      </c>
    </row>
    <row r="150" spans="1:1" x14ac:dyDescent="0.25">
      <c r="A150" t="s">
        <v>536</v>
      </c>
    </row>
    <row r="151" spans="1:1" x14ac:dyDescent="0.25">
      <c r="A151" t="s">
        <v>537</v>
      </c>
    </row>
    <row r="152" spans="1:1" x14ac:dyDescent="0.25">
      <c r="A152" t="s">
        <v>538</v>
      </c>
    </row>
    <row r="153" spans="1:1" x14ac:dyDescent="0.25">
      <c r="A153" t="s">
        <v>539</v>
      </c>
    </row>
    <row r="155" spans="1:1" x14ac:dyDescent="0.25">
      <c r="A155" t="s">
        <v>435</v>
      </c>
    </row>
    <row r="156" spans="1:1" x14ac:dyDescent="0.25">
      <c r="A156" t="s">
        <v>436</v>
      </c>
    </row>
    <row r="157" spans="1:1" x14ac:dyDescent="0.25">
      <c r="A157" t="s">
        <v>540</v>
      </c>
    </row>
    <row r="158" spans="1:1" x14ac:dyDescent="0.25">
      <c r="A158" t="s">
        <v>541</v>
      </c>
    </row>
    <row r="159" spans="1:1" x14ac:dyDescent="0.25">
      <c r="A159" t="s">
        <v>542</v>
      </c>
    </row>
    <row r="160" spans="1:1" x14ac:dyDescent="0.25">
      <c r="A160" t="s">
        <v>543</v>
      </c>
    </row>
    <row r="161" spans="1:1" x14ac:dyDescent="0.25">
      <c r="A161" t="s">
        <v>437</v>
      </c>
    </row>
    <row r="162" spans="1:1" x14ac:dyDescent="0.25">
      <c r="A162" t="s">
        <v>540</v>
      </c>
    </row>
    <row r="163" spans="1:1" x14ac:dyDescent="0.25">
      <c r="A163" t="s">
        <v>544</v>
      </c>
    </row>
    <row r="164" spans="1:1" x14ac:dyDescent="0.25">
      <c r="A164" t="s">
        <v>545</v>
      </c>
    </row>
    <row r="165" spans="1:1" x14ac:dyDescent="0.25">
      <c r="A165" t="s">
        <v>546</v>
      </c>
    </row>
    <row r="166" spans="1:1" x14ac:dyDescent="0.25">
      <c r="A166" t="s">
        <v>438</v>
      </c>
    </row>
    <row r="167" spans="1:1" x14ac:dyDescent="0.25">
      <c r="A167" t="s">
        <v>540</v>
      </c>
    </row>
    <row r="168" spans="1:1" x14ac:dyDescent="0.25">
      <c r="A168" t="s">
        <v>547</v>
      </c>
    </row>
    <row r="169" spans="1:1" x14ac:dyDescent="0.25">
      <c r="A169" t="s">
        <v>548</v>
      </c>
    </row>
    <row r="170" spans="1:1" x14ac:dyDescent="0.25">
      <c r="A170" t="s">
        <v>549</v>
      </c>
    </row>
    <row r="171" spans="1:1" x14ac:dyDescent="0.25">
      <c r="A171" t="s">
        <v>550</v>
      </c>
    </row>
    <row r="175" spans="1:1" x14ac:dyDescent="0.25">
      <c r="A175" t="s">
        <v>603</v>
      </c>
    </row>
    <row r="176" spans="1:1" x14ac:dyDescent="0.25">
      <c r="A176" t="s">
        <v>552</v>
      </c>
    </row>
    <row r="178" spans="1:1" x14ac:dyDescent="0.25">
      <c r="A178" t="s">
        <v>441</v>
      </c>
    </row>
    <row r="179" spans="1:1" x14ac:dyDescent="0.25">
      <c r="A179" t="s">
        <v>553</v>
      </c>
    </row>
    <row r="180" spans="1:1" x14ac:dyDescent="0.25">
      <c r="A180" t="s">
        <v>554</v>
      </c>
    </row>
    <row r="182" spans="1:1" x14ac:dyDescent="0.25">
      <c r="A182" t="s">
        <v>444</v>
      </c>
    </row>
    <row r="183" spans="1:1" x14ac:dyDescent="0.25">
      <c r="A183" t="s">
        <v>555</v>
      </c>
    </row>
    <row r="184" spans="1:1" x14ac:dyDescent="0.25">
      <c r="A184" t="s">
        <v>556</v>
      </c>
    </row>
    <row r="185" spans="1:1" x14ac:dyDescent="0.25">
      <c r="A185" t="s">
        <v>7</v>
      </c>
    </row>
    <row r="186" spans="1:1" x14ac:dyDescent="0.25">
      <c r="A186" t="s">
        <v>557</v>
      </c>
    </row>
    <row r="187" spans="1:1" x14ac:dyDescent="0.25">
      <c r="A187" t="s">
        <v>558</v>
      </c>
    </row>
    <row r="188" spans="1:1" x14ac:dyDescent="0.25">
      <c r="A188" t="s">
        <v>559</v>
      </c>
    </row>
    <row r="189" spans="1:1" x14ac:dyDescent="0.25">
      <c r="A189" t="s">
        <v>560</v>
      </c>
    </row>
    <row r="190" spans="1:1" x14ac:dyDescent="0.25">
      <c r="A190" t="s">
        <v>561</v>
      </c>
    </row>
    <row r="191" spans="1:1" x14ac:dyDescent="0.25">
      <c r="A191" t="s">
        <v>13</v>
      </c>
    </row>
    <row r="193" spans="1:1" x14ac:dyDescent="0.25">
      <c r="A193" t="s">
        <v>453</v>
      </c>
    </row>
    <row r="194" spans="1:1" x14ac:dyDescent="0.25">
      <c r="A194" t="s">
        <v>562</v>
      </c>
    </row>
    <row r="195" spans="1:1" x14ac:dyDescent="0.25">
      <c r="A195" t="s">
        <v>563</v>
      </c>
    </row>
    <row r="196" spans="1:1" x14ac:dyDescent="0.25">
      <c r="A196" t="s">
        <v>564</v>
      </c>
    </row>
    <row r="198" spans="1:1" x14ac:dyDescent="0.25">
      <c r="A198" t="s">
        <v>457</v>
      </c>
    </row>
    <row r="200" spans="1:1" x14ac:dyDescent="0.25">
      <c r="A200" t="s">
        <v>458</v>
      </c>
    </row>
    <row r="201" spans="1:1" x14ac:dyDescent="0.25">
      <c r="A201" t="s">
        <v>565</v>
      </c>
    </row>
    <row r="202" spans="1:1" x14ac:dyDescent="0.25">
      <c r="A202" t="s">
        <v>460</v>
      </c>
    </row>
    <row r="203" spans="1:1" x14ac:dyDescent="0.25">
      <c r="A203" t="s">
        <v>566</v>
      </c>
    </row>
    <row r="205" spans="1:1" x14ac:dyDescent="0.25">
      <c r="A205" t="s">
        <v>462</v>
      </c>
    </row>
    <row r="206" spans="1:1" x14ac:dyDescent="0.25">
      <c r="A206" t="s">
        <v>567</v>
      </c>
    </row>
    <row r="207" spans="1:1" x14ac:dyDescent="0.25">
      <c r="A207" t="s">
        <v>568</v>
      </c>
    </row>
    <row r="208" spans="1:1" x14ac:dyDescent="0.25">
      <c r="A208" t="s">
        <v>569</v>
      </c>
    </row>
    <row r="210" spans="1:1" x14ac:dyDescent="0.25">
      <c r="A210" t="s">
        <v>466</v>
      </c>
    </row>
    <row r="211" spans="1:1" x14ac:dyDescent="0.25">
      <c r="A211" t="s">
        <v>570</v>
      </c>
    </row>
    <row r="212" spans="1:1" x14ac:dyDescent="0.25">
      <c r="A212" t="s">
        <v>571</v>
      </c>
    </row>
    <row r="213" spans="1:1" x14ac:dyDescent="0.25">
      <c r="A213" t="s">
        <v>572</v>
      </c>
    </row>
    <row r="215" spans="1:1" x14ac:dyDescent="0.25">
      <c r="A215" t="s">
        <v>470</v>
      </c>
    </row>
    <row r="216" spans="1:1" x14ac:dyDescent="0.25">
      <c r="A216" t="s">
        <v>573</v>
      </c>
    </row>
    <row r="217" spans="1:1" x14ac:dyDescent="0.25">
      <c r="A217" t="s">
        <v>574</v>
      </c>
    </row>
    <row r="218" spans="1:1" x14ac:dyDescent="0.25">
      <c r="A218" t="s">
        <v>575</v>
      </c>
    </row>
    <row r="219" spans="1:1" x14ac:dyDescent="0.25">
      <c r="A219" t="s">
        <v>576</v>
      </c>
    </row>
    <row r="220" spans="1:1" x14ac:dyDescent="0.25">
      <c r="A220" t="s">
        <v>577</v>
      </c>
    </row>
    <row r="221" spans="1:1" x14ac:dyDescent="0.25">
      <c r="A221" t="s">
        <v>578</v>
      </c>
    </row>
    <row r="223" spans="1:1" x14ac:dyDescent="0.25">
      <c r="A223" t="s">
        <v>434</v>
      </c>
    </row>
    <row r="224" spans="1:1" x14ac:dyDescent="0.25">
      <c r="A224" t="s">
        <v>579</v>
      </c>
    </row>
    <row r="225" spans="1:1" x14ac:dyDescent="0.25">
      <c r="A225" t="s">
        <v>580</v>
      </c>
    </row>
    <row r="226" spans="1:1" x14ac:dyDescent="0.25">
      <c r="A226" t="s">
        <v>581</v>
      </c>
    </row>
    <row r="228" spans="1:1" x14ac:dyDescent="0.25">
      <c r="A228" t="s">
        <v>43</v>
      </c>
    </row>
    <row r="229" spans="1:1" x14ac:dyDescent="0.25">
      <c r="A229" t="s">
        <v>582</v>
      </c>
    </row>
    <row r="230" spans="1:1" x14ac:dyDescent="0.25">
      <c r="A230" t="s">
        <v>45</v>
      </c>
    </row>
    <row r="231" spans="1:1" x14ac:dyDescent="0.25">
      <c r="A231" t="s">
        <v>583</v>
      </c>
    </row>
    <row r="232" spans="1:1" x14ac:dyDescent="0.25">
      <c r="A232" t="s">
        <v>584</v>
      </c>
    </row>
    <row r="233" spans="1:1" x14ac:dyDescent="0.25">
      <c r="A233" t="s">
        <v>585</v>
      </c>
    </row>
    <row r="234" spans="1:1" x14ac:dyDescent="0.25">
      <c r="A234" t="s">
        <v>586</v>
      </c>
    </row>
    <row r="235" spans="1:1" x14ac:dyDescent="0.25">
      <c r="A235" t="s">
        <v>587</v>
      </c>
    </row>
    <row r="236" spans="1:1" x14ac:dyDescent="0.25">
      <c r="A236" t="s">
        <v>588</v>
      </c>
    </row>
    <row r="237" spans="1:1" x14ac:dyDescent="0.25">
      <c r="A237" t="s">
        <v>589</v>
      </c>
    </row>
    <row r="238" spans="1:1" x14ac:dyDescent="0.25">
      <c r="A238" t="s">
        <v>590</v>
      </c>
    </row>
    <row r="239" spans="1:1" x14ac:dyDescent="0.25">
      <c r="A239" t="s">
        <v>591</v>
      </c>
    </row>
    <row r="241" spans="1:1" x14ac:dyDescent="0.25">
      <c r="A241" t="s">
        <v>435</v>
      </c>
    </row>
    <row r="242" spans="1:1" x14ac:dyDescent="0.25">
      <c r="A242" t="s">
        <v>436</v>
      </c>
    </row>
    <row r="243" spans="1:1" x14ac:dyDescent="0.25">
      <c r="A243" t="s">
        <v>592</v>
      </c>
    </row>
    <row r="244" spans="1:1" x14ac:dyDescent="0.25">
      <c r="A244" t="s">
        <v>593</v>
      </c>
    </row>
    <row r="245" spans="1:1" x14ac:dyDescent="0.25">
      <c r="A245" t="s">
        <v>594</v>
      </c>
    </row>
    <row r="246" spans="1:1" x14ac:dyDescent="0.25">
      <c r="A246" t="s">
        <v>595</v>
      </c>
    </row>
    <row r="247" spans="1:1" x14ac:dyDescent="0.25">
      <c r="A247" t="s">
        <v>437</v>
      </c>
    </row>
    <row r="248" spans="1:1" x14ac:dyDescent="0.25">
      <c r="A248" t="s">
        <v>592</v>
      </c>
    </row>
    <row r="249" spans="1:1" x14ac:dyDescent="0.25">
      <c r="A249" t="s">
        <v>596</v>
      </c>
    </row>
    <row r="250" spans="1:1" x14ac:dyDescent="0.25">
      <c r="A250" t="s">
        <v>597</v>
      </c>
    </row>
    <row r="251" spans="1:1" x14ac:dyDescent="0.25">
      <c r="A251" t="s">
        <v>598</v>
      </c>
    </row>
    <row r="252" spans="1:1" x14ac:dyDescent="0.25">
      <c r="A252" t="s">
        <v>438</v>
      </c>
    </row>
    <row r="253" spans="1:1" x14ac:dyDescent="0.25">
      <c r="A253" t="s">
        <v>592</v>
      </c>
    </row>
    <row r="254" spans="1:1" x14ac:dyDescent="0.25">
      <c r="A254" t="s">
        <v>599</v>
      </c>
    </row>
    <row r="255" spans="1:1" x14ac:dyDescent="0.25">
      <c r="A255" t="s">
        <v>600</v>
      </c>
    </row>
    <row r="256" spans="1:1" x14ac:dyDescent="0.25">
      <c r="A256" t="s">
        <v>601</v>
      </c>
    </row>
    <row r="257" spans="1:1" x14ac:dyDescent="0.25">
      <c r="A257" t="s">
        <v>602</v>
      </c>
    </row>
    <row r="260" spans="1:1" x14ac:dyDescent="0.25">
      <c r="A260" t="s">
        <v>752</v>
      </c>
    </row>
    <row r="261" spans="1:1" x14ac:dyDescent="0.25">
      <c r="A261" t="s">
        <v>759</v>
      </c>
    </row>
    <row r="263" spans="1:1" x14ac:dyDescent="0.25">
      <c r="A263" t="s">
        <v>441</v>
      </c>
    </row>
    <row r="264" spans="1:1" x14ac:dyDescent="0.25">
      <c r="A264" t="s">
        <v>605</v>
      </c>
    </row>
    <row r="265" spans="1:1" x14ac:dyDescent="0.25">
      <c r="A265" t="s">
        <v>606</v>
      </c>
    </row>
    <row r="267" spans="1:1" x14ac:dyDescent="0.25">
      <c r="A267" t="s">
        <v>444</v>
      </c>
    </row>
    <row r="268" spans="1:1" x14ac:dyDescent="0.25">
      <c r="A268" t="s">
        <v>607</v>
      </c>
    </row>
    <row r="269" spans="1:1" x14ac:dyDescent="0.25">
      <c r="A269" t="s">
        <v>608</v>
      </c>
    </row>
    <row r="270" spans="1:1" x14ac:dyDescent="0.25">
      <c r="A270" t="s">
        <v>7</v>
      </c>
    </row>
    <row r="271" spans="1:1" x14ac:dyDescent="0.25">
      <c r="A271" t="s">
        <v>609</v>
      </c>
    </row>
    <row r="272" spans="1:1" x14ac:dyDescent="0.25">
      <c r="A272" t="s">
        <v>610</v>
      </c>
    </row>
    <row r="273" spans="1:1" x14ac:dyDescent="0.25">
      <c r="A273" t="s">
        <v>611</v>
      </c>
    </row>
    <row r="274" spans="1:1" x14ac:dyDescent="0.25">
      <c r="A274" t="s">
        <v>612</v>
      </c>
    </row>
    <row r="275" spans="1:1" x14ac:dyDescent="0.25">
      <c r="A275" t="s">
        <v>13</v>
      </c>
    </row>
    <row r="277" spans="1:1" x14ac:dyDescent="0.25">
      <c r="A277" t="s">
        <v>453</v>
      </c>
    </row>
    <row r="278" spans="1:1" x14ac:dyDescent="0.25">
      <c r="A278" t="s">
        <v>613</v>
      </c>
    </row>
    <row r="279" spans="1:1" x14ac:dyDescent="0.25">
      <c r="A279" t="s">
        <v>614</v>
      </c>
    </row>
    <row r="280" spans="1:1" x14ac:dyDescent="0.25">
      <c r="A280" t="s">
        <v>615</v>
      </c>
    </row>
    <row r="282" spans="1:1" x14ac:dyDescent="0.25">
      <c r="A282" t="s">
        <v>457</v>
      </c>
    </row>
    <row r="284" spans="1:1" x14ac:dyDescent="0.25">
      <c r="A284" t="s">
        <v>458</v>
      </c>
    </row>
    <row r="285" spans="1:1" x14ac:dyDescent="0.25">
      <c r="A285" t="s">
        <v>616</v>
      </c>
    </row>
    <row r="286" spans="1:1" x14ac:dyDescent="0.25">
      <c r="A286" t="s">
        <v>460</v>
      </c>
    </row>
    <row r="287" spans="1:1" x14ac:dyDescent="0.25">
      <c r="A287" t="s">
        <v>617</v>
      </c>
    </row>
    <row r="289" spans="1:1" x14ac:dyDescent="0.25">
      <c r="A289" t="s">
        <v>462</v>
      </c>
    </row>
    <row r="290" spans="1:1" x14ac:dyDescent="0.25">
      <c r="A290" t="s">
        <v>618</v>
      </c>
    </row>
    <row r="291" spans="1:1" x14ac:dyDescent="0.25">
      <c r="A291" t="s">
        <v>619</v>
      </c>
    </row>
    <row r="292" spans="1:1" x14ac:dyDescent="0.25">
      <c r="A292" t="s">
        <v>620</v>
      </c>
    </row>
    <row r="294" spans="1:1" x14ac:dyDescent="0.25">
      <c r="A294" t="s">
        <v>466</v>
      </c>
    </row>
    <row r="295" spans="1:1" x14ac:dyDescent="0.25">
      <c r="A295" t="s">
        <v>621</v>
      </c>
    </row>
    <row r="296" spans="1:1" x14ac:dyDescent="0.25">
      <c r="A296" t="s">
        <v>468</v>
      </c>
    </row>
    <row r="297" spans="1:1" x14ac:dyDescent="0.25">
      <c r="A297" t="s">
        <v>622</v>
      </c>
    </row>
    <row r="299" spans="1:1" x14ac:dyDescent="0.25">
      <c r="A299" t="s">
        <v>470</v>
      </c>
    </row>
    <row r="300" spans="1:1" x14ac:dyDescent="0.25">
      <c r="A300" t="s">
        <v>623</v>
      </c>
    </row>
    <row r="301" spans="1:1" x14ac:dyDescent="0.25">
      <c r="A301" t="s">
        <v>624</v>
      </c>
    </row>
    <row r="302" spans="1:1" x14ac:dyDescent="0.25">
      <c r="A302" t="s">
        <v>625</v>
      </c>
    </row>
    <row r="303" spans="1:1" x14ac:dyDescent="0.25">
      <c r="A303" t="s">
        <v>626</v>
      </c>
    </row>
    <row r="304" spans="1:1" x14ac:dyDescent="0.25">
      <c r="A304" t="s">
        <v>627</v>
      </c>
    </row>
    <row r="305" spans="1:1" x14ac:dyDescent="0.25">
      <c r="A305" t="s">
        <v>628</v>
      </c>
    </row>
    <row r="307" spans="1:1" x14ac:dyDescent="0.25">
      <c r="A307" t="s">
        <v>434</v>
      </c>
    </row>
    <row r="308" spans="1:1" x14ac:dyDescent="0.25">
      <c r="A308" t="s">
        <v>629</v>
      </c>
    </row>
    <row r="309" spans="1:1" x14ac:dyDescent="0.25">
      <c r="A309" t="s">
        <v>630</v>
      </c>
    </row>
    <row r="310" spans="1:1" x14ac:dyDescent="0.25">
      <c r="A310" t="s">
        <v>631</v>
      </c>
    </row>
    <row r="312" spans="1:1" x14ac:dyDescent="0.25">
      <c r="A312" t="s">
        <v>43</v>
      </c>
    </row>
    <row r="313" spans="1:1" x14ac:dyDescent="0.25">
      <c r="A313" t="s">
        <v>632</v>
      </c>
    </row>
    <row r="314" spans="1:1" x14ac:dyDescent="0.25">
      <c r="A314" t="s">
        <v>45</v>
      </c>
    </row>
    <row r="315" spans="1:1" x14ac:dyDescent="0.25">
      <c r="A315" t="s">
        <v>633</v>
      </c>
    </row>
    <row r="316" spans="1:1" x14ac:dyDescent="0.25">
      <c r="A316" t="s">
        <v>634</v>
      </c>
    </row>
    <row r="317" spans="1:1" x14ac:dyDescent="0.25">
      <c r="A317" t="s">
        <v>635</v>
      </c>
    </row>
    <row r="318" spans="1:1" x14ac:dyDescent="0.25">
      <c r="A318" t="s">
        <v>636</v>
      </c>
    </row>
    <row r="319" spans="1:1" x14ac:dyDescent="0.25">
      <c r="A319" t="s">
        <v>637</v>
      </c>
    </row>
    <row r="320" spans="1:1" x14ac:dyDescent="0.25">
      <c r="A320" t="s">
        <v>638</v>
      </c>
    </row>
    <row r="321" spans="1:1" x14ac:dyDescent="0.25">
      <c r="A321" t="s">
        <v>639</v>
      </c>
    </row>
    <row r="322" spans="1:1" x14ac:dyDescent="0.25">
      <c r="A322" t="s">
        <v>640</v>
      </c>
    </row>
    <row r="323" spans="1:1" x14ac:dyDescent="0.25">
      <c r="A323" t="s">
        <v>641</v>
      </c>
    </row>
    <row r="325" spans="1:1" x14ac:dyDescent="0.25">
      <c r="A325" t="s">
        <v>435</v>
      </c>
    </row>
    <row r="326" spans="1:1" x14ac:dyDescent="0.25">
      <c r="A326" t="s">
        <v>436</v>
      </c>
    </row>
    <row r="327" spans="1:1" x14ac:dyDescent="0.25">
      <c r="A327" t="s">
        <v>642</v>
      </c>
    </row>
    <row r="328" spans="1:1" x14ac:dyDescent="0.25">
      <c r="A328" t="s">
        <v>643</v>
      </c>
    </row>
    <row r="329" spans="1:1" x14ac:dyDescent="0.25">
      <c r="A329" t="s">
        <v>644</v>
      </c>
    </row>
    <row r="330" spans="1:1" x14ac:dyDescent="0.25">
      <c r="A330" t="s">
        <v>645</v>
      </c>
    </row>
    <row r="331" spans="1:1" x14ac:dyDescent="0.25">
      <c r="A331" t="s">
        <v>437</v>
      </c>
    </row>
    <row r="332" spans="1:1" x14ac:dyDescent="0.25">
      <c r="A332" t="s">
        <v>642</v>
      </c>
    </row>
    <row r="333" spans="1:1" x14ac:dyDescent="0.25">
      <c r="A333" t="s">
        <v>643</v>
      </c>
    </row>
    <row r="334" spans="1:1" x14ac:dyDescent="0.25">
      <c r="A334" t="s">
        <v>644</v>
      </c>
    </row>
    <row r="335" spans="1:1" x14ac:dyDescent="0.25">
      <c r="A335" t="s">
        <v>646</v>
      </c>
    </row>
    <row r="336" spans="1:1" x14ac:dyDescent="0.25">
      <c r="A336" t="s">
        <v>438</v>
      </c>
    </row>
    <row r="337" spans="1:1" x14ac:dyDescent="0.25">
      <c r="A337" t="s">
        <v>642</v>
      </c>
    </row>
    <row r="338" spans="1:1" x14ac:dyDescent="0.25">
      <c r="A338" t="s">
        <v>647</v>
      </c>
    </row>
    <row r="339" spans="1:1" x14ac:dyDescent="0.25">
      <c r="A339" t="s">
        <v>648</v>
      </c>
    </row>
    <row r="340" spans="1:1" x14ac:dyDescent="0.25">
      <c r="A340" t="s">
        <v>649</v>
      </c>
    </row>
    <row r="341" spans="1:1" x14ac:dyDescent="0.25">
      <c r="A341" t="s">
        <v>650</v>
      </c>
    </row>
    <row r="345" spans="1:1" x14ac:dyDescent="0.25">
      <c r="A345" t="s">
        <v>754</v>
      </c>
    </row>
    <row r="346" spans="1:1" x14ac:dyDescent="0.25">
      <c r="A346" t="s">
        <v>758</v>
      </c>
    </row>
    <row r="348" spans="1:1" x14ac:dyDescent="0.25">
      <c r="A348" t="s">
        <v>441</v>
      </c>
    </row>
    <row r="349" spans="1:1" x14ac:dyDescent="0.25">
      <c r="A349" t="s">
        <v>651</v>
      </c>
    </row>
    <row r="350" spans="1:1" x14ac:dyDescent="0.25">
      <c r="A350" t="s">
        <v>652</v>
      </c>
    </row>
    <row r="352" spans="1:1" x14ac:dyDescent="0.25">
      <c r="A352" t="s">
        <v>444</v>
      </c>
    </row>
    <row r="353" spans="1:1" x14ac:dyDescent="0.25">
      <c r="A353" t="s">
        <v>653</v>
      </c>
    </row>
    <row r="354" spans="1:1" x14ac:dyDescent="0.25">
      <c r="A354" t="s">
        <v>654</v>
      </c>
    </row>
    <row r="355" spans="1:1" x14ac:dyDescent="0.25">
      <c r="A355" t="s">
        <v>7</v>
      </c>
    </row>
    <row r="356" spans="1:1" x14ac:dyDescent="0.25">
      <c r="A356" t="s">
        <v>655</v>
      </c>
    </row>
    <row r="357" spans="1:1" x14ac:dyDescent="0.25">
      <c r="A357" t="s">
        <v>656</v>
      </c>
    </row>
    <row r="358" spans="1:1" x14ac:dyDescent="0.25">
      <c r="A358" t="s">
        <v>657</v>
      </c>
    </row>
    <row r="359" spans="1:1" x14ac:dyDescent="0.25">
      <c r="A359" t="s">
        <v>658</v>
      </c>
    </row>
    <row r="360" spans="1:1" x14ac:dyDescent="0.25">
      <c r="A360" t="s">
        <v>659</v>
      </c>
    </row>
    <row r="361" spans="1:1" x14ac:dyDescent="0.25">
      <c r="A361" t="s">
        <v>13</v>
      </c>
    </row>
    <row r="363" spans="1:1" x14ac:dyDescent="0.25">
      <c r="A363" t="s">
        <v>453</v>
      </c>
    </row>
    <row r="364" spans="1:1" x14ac:dyDescent="0.25">
      <c r="A364" t="s">
        <v>660</v>
      </c>
    </row>
    <row r="365" spans="1:1" x14ac:dyDescent="0.25">
      <c r="A365" t="s">
        <v>661</v>
      </c>
    </row>
    <row r="366" spans="1:1" x14ac:dyDescent="0.25">
      <c r="A366" t="s">
        <v>662</v>
      </c>
    </row>
    <row r="368" spans="1:1" x14ac:dyDescent="0.25">
      <c r="A368" t="s">
        <v>457</v>
      </c>
    </row>
    <row r="370" spans="1:1" x14ac:dyDescent="0.25">
      <c r="A370" t="s">
        <v>458</v>
      </c>
    </row>
    <row r="371" spans="1:1" x14ac:dyDescent="0.25">
      <c r="A371" t="s">
        <v>663</v>
      </c>
    </row>
    <row r="372" spans="1:1" x14ac:dyDescent="0.25">
      <c r="A372" t="s">
        <v>460</v>
      </c>
    </row>
    <row r="373" spans="1:1" x14ac:dyDescent="0.25">
      <c r="A373" t="s">
        <v>664</v>
      </c>
    </row>
    <row r="375" spans="1:1" x14ac:dyDescent="0.25">
      <c r="A375" t="s">
        <v>462</v>
      </c>
    </row>
    <row r="376" spans="1:1" x14ac:dyDescent="0.25">
      <c r="A376" t="s">
        <v>665</v>
      </c>
    </row>
    <row r="377" spans="1:1" x14ac:dyDescent="0.25">
      <c r="A377" t="s">
        <v>666</v>
      </c>
    </row>
    <row r="378" spans="1:1" x14ac:dyDescent="0.25">
      <c r="A378" t="s">
        <v>667</v>
      </c>
    </row>
    <row r="380" spans="1:1" x14ac:dyDescent="0.25">
      <c r="A380" t="s">
        <v>466</v>
      </c>
    </row>
    <row r="381" spans="1:1" x14ac:dyDescent="0.25">
      <c r="A381" t="s">
        <v>668</v>
      </c>
    </row>
    <row r="382" spans="1:1" x14ac:dyDescent="0.25">
      <c r="A382" t="s">
        <v>669</v>
      </c>
    </row>
    <row r="383" spans="1:1" x14ac:dyDescent="0.25">
      <c r="A383" t="s">
        <v>670</v>
      </c>
    </row>
    <row r="385" spans="1:1" x14ac:dyDescent="0.25">
      <c r="A385" t="s">
        <v>470</v>
      </c>
    </row>
    <row r="386" spans="1:1" x14ac:dyDescent="0.25">
      <c r="A386" t="s">
        <v>671</v>
      </c>
    </row>
    <row r="387" spans="1:1" x14ac:dyDescent="0.25">
      <c r="A387" t="s">
        <v>672</v>
      </c>
    </row>
    <row r="388" spans="1:1" x14ac:dyDescent="0.25">
      <c r="A388" t="s">
        <v>673</v>
      </c>
    </row>
    <row r="389" spans="1:1" x14ac:dyDescent="0.25">
      <c r="A389" t="s">
        <v>674</v>
      </c>
    </row>
    <row r="390" spans="1:1" x14ac:dyDescent="0.25">
      <c r="A390" t="s">
        <v>675</v>
      </c>
    </row>
    <row r="391" spans="1:1" x14ac:dyDescent="0.25">
      <c r="A391" t="s">
        <v>676</v>
      </c>
    </row>
    <row r="393" spans="1:1" x14ac:dyDescent="0.25">
      <c r="A393" t="s">
        <v>434</v>
      </c>
    </row>
    <row r="394" spans="1:1" x14ac:dyDescent="0.25">
      <c r="A394" t="s">
        <v>677</v>
      </c>
    </row>
    <row r="395" spans="1:1" x14ac:dyDescent="0.25">
      <c r="A395" t="s">
        <v>678</v>
      </c>
    </row>
    <row r="396" spans="1:1" x14ac:dyDescent="0.25">
      <c r="A396" t="s">
        <v>679</v>
      </c>
    </row>
    <row r="398" spans="1:1" x14ac:dyDescent="0.25">
      <c r="A398" t="s">
        <v>43</v>
      </c>
    </row>
    <row r="399" spans="1:1" x14ac:dyDescent="0.25">
      <c r="A399" t="s">
        <v>680</v>
      </c>
    </row>
    <row r="400" spans="1:1" x14ac:dyDescent="0.25">
      <c r="A400" t="s">
        <v>45</v>
      </c>
    </row>
    <row r="401" spans="1:1" x14ac:dyDescent="0.25">
      <c r="A401" t="s">
        <v>681</v>
      </c>
    </row>
    <row r="402" spans="1:1" x14ac:dyDescent="0.25">
      <c r="A402" t="s">
        <v>682</v>
      </c>
    </row>
    <row r="403" spans="1:1" x14ac:dyDescent="0.25">
      <c r="A403" t="s">
        <v>683</v>
      </c>
    </row>
    <row r="404" spans="1:1" x14ac:dyDescent="0.25">
      <c r="A404" t="s">
        <v>684</v>
      </c>
    </row>
    <row r="405" spans="1:1" x14ac:dyDescent="0.25">
      <c r="A405" t="s">
        <v>685</v>
      </c>
    </row>
    <row r="406" spans="1:1" x14ac:dyDescent="0.25">
      <c r="A406" t="s">
        <v>686</v>
      </c>
    </row>
    <row r="407" spans="1:1" x14ac:dyDescent="0.25">
      <c r="A407" t="s">
        <v>687</v>
      </c>
    </row>
    <row r="408" spans="1:1" x14ac:dyDescent="0.25">
      <c r="A408" t="s">
        <v>688</v>
      </c>
    </row>
    <row r="409" spans="1:1" x14ac:dyDescent="0.25">
      <c r="A409" t="s">
        <v>689</v>
      </c>
    </row>
    <row r="411" spans="1:1" x14ac:dyDescent="0.25">
      <c r="A411" t="s">
        <v>435</v>
      </c>
    </row>
    <row r="412" spans="1:1" x14ac:dyDescent="0.25">
      <c r="A412" t="s">
        <v>436</v>
      </c>
    </row>
    <row r="413" spans="1:1" x14ac:dyDescent="0.25">
      <c r="A413" t="s">
        <v>690</v>
      </c>
    </row>
    <row r="414" spans="1:1" x14ac:dyDescent="0.25">
      <c r="A414" t="s">
        <v>691</v>
      </c>
    </row>
    <row r="415" spans="1:1" x14ac:dyDescent="0.25">
      <c r="A415" t="s">
        <v>692</v>
      </c>
    </row>
    <row r="416" spans="1:1" x14ac:dyDescent="0.25">
      <c r="A416" t="s">
        <v>693</v>
      </c>
    </row>
    <row r="417" spans="1:1" x14ac:dyDescent="0.25">
      <c r="A417" t="s">
        <v>437</v>
      </c>
    </row>
    <row r="418" spans="1:1" x14ac:dyDescent="0.25">
      <c r="A418" t="s">
        <v>690</v>
      </c>
    </row>
    <row r="419" spans="1:1" x14ac:dyDescent="0.25">
      <c r="A419" t="s">
        <v>691</v>
      </c>
    </row>
    <row r="420" spans="1:1" x14ac:dyDescent="0.25">
      <c r="A420" t="s">
        <v>694</v>
      </c>
    </row>
    <row r="421" spans="1:1" x14ac:dyDescent="0.25">
      <c r="A421" t="s">
        <v>695</v>
      </c>
    </row>
    <row r="422" spans="1:1" x14ac:dyDescent="0.25">
      <c r="A422" t="s">
        <v>438</v>
      </c>
    </row>
    <row r="423" spans="1:1" x14ac:dyDescent="0.25">
      <c r="A423" t="s">
        <v>690</v>
      </c>
    </row>
    <row r="424" spans="1:1" x14ac:dyDescent="0.25">
      <c r="A424" t="s">
        <v>696</v>
      </c>
    </row>
    <row r="425" spans="1:1" x14ac:dyDescent="0.25">
      <c r="A425" t="s">
        <v>697</v>
      </c>
    </row>
    <row r="426" spans="1:1" x14ac:dyDescent="0.25">
      <c r="A426" t="s">
        <v>698</v>
      </c>
    </row>
    <row r="427" spans="1:1" x14ac:dyDescent="0.25">
      <c r="A427" t="s">
        <v>699</v>
      </c>
    </row>
    <row r="432" spans="1:1" x14ac:dyDescent="0.25">
      <c r="A432" t="s">
        <v>756</v>
      </c>
    </row>
    <row r="433" spans="1:1" x14ac:dyDescent="0.25">
      <c r="A433" t="s">
        <v>757</v>
      </c>
    </row>
    <row r="435" spans="1:1" x14ac:dyDescent="0.25">
      <c r="A435" t="s">
        <v>441</v>
      </c>
    </row>
    <row r="436" spans="1:1" x14ac:dyDescent="0.25">
      <c r="A436" t="s">
        <v>700</v>
      </c>
    </row>
    <row r="437" spans="1:1" x14ac:dyDescent="0.25">
      <c r="A437" t="s">
        <v>701</v>
      </c>
    </row>
    <row r="439" spans="1:1" x14ac:dyDescent="0.25">
      <c r="A439" t="s">
        <v>444</v>
      </c>
    </row>
    <row r="440" spans="1:1" x14ac:dyDescent="0.25">
      <c r="A440" t="s">
        <v>702</v>
      </c>
    </row>
    <row r="441" spans="1:1" x14ac:dyDescent="0.25">
      <c r="A441" t="s">
        <v>703</v>
      </c>
    </row>
    <row r="442" spans="1:1" x14ac:dyDescent="0.25">
      <c r="A442" t="s">
        <v>7</v>
      </c>
    </row>
    <row r="443" spans="1:1" x14ac:dyDescent="0.25">
      <c r="A443" t="s">
        <v>704</v>
      </c>
    </row>
    <row r="444" spans="1:1" x14ac:dyDescent="0.25">
      <c r="A444" t="s">
        <v>705</v>
      </c>
    </row>
    <row r="445" spans="1:1" x14ac:dyDescent="0.25">
      <c r="A445" t="s">
        <v>706</v>
      </c>
    </row>
    <row r="446" spans="1:1" x14ac:dyDescent="0.25">
      <c r="A446" t="s">
        <v>707</v>
      </c>
    </row>
    <row r="447" spans="1:1" x14ac:dyDescent="0.25">
      <c r="A447" t="s">
        <v>708</v>
      </c>
    </row>
    <row r="448" spans="1:1" x14ac:dyDescent="0.25">
      <c r="A448" t="s">
        <v>13</v>
      </c>
    </row>
    <row r="450" spans="1:1" x14ac:dyDescent="0.25">
      <c r="A450" t="s">
        <v>453</v>
      </c>
    </row>
    <row r="451" spans="1:1" x14ac:dyDescent="0.25">
      <c r="A451" t="s">
        <v>709</v>
      </c>
    </row>
    <row r="452" spans="1:1" x14ac:dyDescent="0.25">
      <c r="A452" t="s">
        <v>710</v>
      </c>
    </row>
    <row r="453" spans="1:1" x14ac:dyDescent="0.25">
      <c r="A453" t="s">
        <v>711</v>
      </c>
    </row>
    <row r="455" spans="1:1" x14ac:dyDescent="0.25">
      <c r="A455" t="s">
        <v>457</v>
      </c>
    </row>
    <row r="457" spans="1:1" x14ac:dyDescent="0.25">
      <c r="A457" t="s">
        <v>458</v>
      </c>
    </row>
    <row r="458" spans="1:1" x14ac:dyDescent="0.25">
      <c r="A458" t="s">
        <v>712</v>
      </c>
    </row>
    <row r="459" spans="1:1" x14ac:dyDescent="0.25">
      <c r="A459" t="s">
        <v>460</v>
      </c>
    </row>
    <row r="460" spans="1:1" x14ac:dyDescent="0.25">
      <c r="A460" t="s">
        <v>713</v>
      </c>
    </row>
    <row r="462" spans="1:1" x14ac:dyDescent="0.25">
      <c r="A462" t="s">
        <v>462</v>
      </c>
    </row>
    <row r="463" spans="1:1" x14ac:dyDescent="0.25">
      <c r="A463" t="s">
        <v>714</v>
      </c>
    </row>
    <row r="464" spans="1:1" x14ac:dyDescent="0.25">
      <c r="A464" t="s">
        <v>715</v>
      </c>
    </row>
    <row r="465" spans="1:1" x14ac:dyDescent="0.25">
      <c r="A465" t="s">
        <v>716</v>
      </c>
    </row>
    <row r="467" spans="1:1" x14ac:dyDescent="0.25">
      <c r="A467" t="s">
        <v>466</v>
      </c>
    </row>
    <row r="468" spans="1:1" x14ac:dyDescent="0.25">
      <c r="A468" t="s">
        <v>717</v>
      </c>
    </row>
    <row r="469" spans="1:1" x14ac:dyDescent="0.25">
      <c r="A469" t="s">
        <v>718</v>
      </c>
    </row>
    <row r="470" spans="1:1" x14ac:dyDescent="0.25">
      <c r="A470" t="s">
        <v>719</v>
      </c>
    </row>
    <row r="472" spans="1:1" x14ac:dyDescent="0.25">
      <c r="A472" t="s">
        <v>470</v>
      </c>
    </row>
    <row r="473" spans="1:1" x14ac:dyDescent="0.25">
      <c r="A473" t="s">
        <v>720</v>
      </c>
    </row>
    <row r="474" spans="1:1" x14ac:dyDescent="0.25">
      <c r="A474" t="s">
        <v>721</v>
      </c>
    </row>
    <row r="475" spans="1:1" x14ac:dyDescent="0.25">
      <c r="A475" t="s">
        <v>722</v>
      </c>
    </row>
    <row r="476" spans="1:1" x14ac:dyDescent="0.25">
      <c r="A476" t="s">
        <v>723</v>
      </c>
    </row>
    <row r="477" spans="1:1" x14ac:dyDescent="0.25">
      <c r="A477" t="s">
        <v>724</v>
      </c>
    </row>
    <row r="478" spans="1:1" x14ac:dyDescent="0.25">
      <c r="A478" t="s">
        <v>725</v>
      </c>
    </row>
    <row r="480" spans="1:1" x14ac:dyDescent="0.25">
      <c r="A480" t="s">
        <v>434</v>
      </c>
    </row>
    <row r="481" spans="1:1" x14ac:dyDescent="0.25">
      <c r="A481" t="s">
        <v>726</v>
      </c>
    </row>
    <row r="482" spans="1:1" x14ac:dyDescent="0.25">
      <c r="A482" t="s">
        <v>727</v>
      </c>
    </row>
    <row r="483" spans="1:1" x14ac:dyDescent="0.25">
      <c r="A483" t="s">
        <v>728</v>
      </c>
    </row>
    <row r="485" spans="1:1" x14ac:dyDescent="0.25">
      <c r="A485" t="s">
        <v>43</v>
      </c>
    </row>
    <row r="486" spans="1:1" x14ac:dyDescent="0.25">
      <c r="A486" t="s">
        <v>729</v>
      </c>
    </row>
    <row r="487" spans="1:1" x14ac:dyDescent="0.25">
      <c r="A487" t="s">
        <v>179</v>
      </c>
    </row>
    <row r="488" spans="1:1" x14ac:dyDescent="0.25">
      <c r="A488" t="s">
        <v>730</v>
      </c>
    </row>
    <row r="489" spans="1:1" x14ac:dyDescent="0.25">
      <c r="A489" t="s">
        <v>731</v>
      </c>
    </row>
    <row r="490" spans="1:1" x14ac:dyDescent="0.25">
      <c r="A490" t="s">
        <v>732</v>
      </c>
    </row>
    <row r="491" spans="1:1" x14ac:dyDescent="0.25">
      <c r="A491" t="s">
        <v>733</v>
      </c>
    </row>
    <row r="492" spans="1:1" x14ac:dyDescent="0.25">
      <c r="A492" t="s">
        <v>734</v>
      </c>
    </row>
    <row r="493" spans="1:1" x14ac:dyDescent="0.25">
      <c r="A493" t="s">
        <v>735</v>
      </c>
    </row>
    <row r="494" spans="1:1" x14ac:dyDescent="0.25">
      <c r="A494" t="s">
        <v>736</v>
      </c>
    </row>
    <row r="495" spans="1:1" x14ac:dyDescent="0.25">
      <c r="A495" t="s">
        <v>737</v>
      </c>
    </row>
    <row r="496" spans="1:1" x14ac:dyDescent="0.25">
      <c r="A496" t="s">
        <v>738</v>
      </c>
    </row>
    <row r="498" spans="1:1" x14ac:dyDescent="0.25">
      <c r="A498" t="s">
        <v>435</v>
      </c>
    </row>
    <row r="499" spans="1:1" x14ac:dyDescent="0.25">
      <c r="A499" t="s">
        <v>436</v>
      </c>
    </row>
    <row r="500" spans="1:1" x14ac:dyDescent="0.25">
      <c r="A500" t="s">
        <v>739</v>
      </c>
    </row>
    <row r="501" spans="1:1" x14ac:dyDescent="0.25">
      <c r="A501" t="s">
        <v>740</v>
      </c>
    </row>
    <row r="502" spans="1:1" x14ac:dyDescent="0.25">
      <c r="A502" t="s">
        <v>741</v>
      </c>
    </row>
    <row r="503" spans="1:1" x14ac:dyDescent="0.25">
      <c r="A503" t="s">
        <v>742</v>
      </c>
    </row>
    <row r="504" spans="1:1" x14ac:dyDescent="0.25">
      <c r="A504" t="s">
        <v>437</v>
      </c>
    </row>
    <row r="505" spans="1:1" x14ac:dyDescent="0.25">
      <c r="A505" t="s">
        <v>739</v>
      </c>
    </row>
    <row r="506" spans="1:1" x14ac:dyDescent="0.25">
      <c r="A506" t="s">
        <v>740</v>
      </c>
    </row>
    <row r="507" spans="1:1" x14ac:dyDescent="0.25">
      <c r="A507" t="s">
        <v>741</v>
      </c>
    </row>
    <row r="508" spans="1:1" x14ac:dyDescent="0.25">
      <c r="A508" t="s">
        <v>743</v>
      </c>
    </row>
    <row r="509" spans="1:1" x14ac:dyDescent="0.25">
      <c r="A509" t="s">
        <v>438</v>
      </c>
    </row>
    <row r="510" spans="1:1" x14ac:dyDescent="0.25">
      <c r="A510" t="s">
        <v>739</v>
      </c>
    </row>
    <row r="511" spans="1:1" x14ac:dyDescent="0.25">
      <c r="A511" t="s">
        <v>744</v>
      </c>
    </row>
    <row r="512" spans="1:1" x14ac:dyDescent="0.25">
      <c r="A512" t="s">
        <v>745</v>
      </c>
    </row>
    <row r="513" spans="1:1" x14ac:dyDescent="0.25">
      <c r="A513" t="s">
        <v>746</v>
      </c>
    </row>
    <row r="514" spans="1:1" x14ac:dyDescent="0.25">
      <c r="A514" t="s">
        <v>747</v>
      </c>
    </row>
    <row r="516" spans="1:1" x14ac:dyDescent="0.25">
      <c r="A516" t="s">
        <v>748</v>
      </c>
    </row>
    <row r="517" spans="1:1" x14ac:dyDescent="0.25">
      <c r="A517" t="s">
        <v>749</v>
      </c>
    </row>
    <row r="520" spans="1:1" x14ac:dyDescent="0.25">
      <c r="A520" t="s">
        <v>904</v>
      </c>
    </row>
    <row r="521" spans="1:1" x14ac:dyDescent="0.25">
      <c r="A521" t="s">
        <v>760</v>
      </c>
    </row>
    <row r="523" spans="1:1" x14ac:dyDescent="0.25">
      <c r="A523" t="s">
        <v>441</v>
      </c>
    </row>
    <row r="524" spans="1:1" x14ac:dyDescent="0.25">
      <c r="A524" t="s">
        <v>761</v>
      </c>
    </row>
    <row r="525" spans="1:1" x14ac:dyDescent="0.25">
      <c r="A525" t="s">
        <v>762</v>
      </c>
    </row>
    <row r="527" spans="1:1" x14ac:dyDescent="0.25">
      <c r="A527" t="s">
        <v>444</v>
      </c>
    </row>
    <row r="528" spans="1:1" x14ac:dyDescent="0.25">
      <c r="A528" t="s">
        <v>763</v>
      </c>
    </row>
    <row r="529" spans="1:1" x14ac:dyDescent="0.25">
      <c r="A529" t="s">
        <v>764</v>
      </c>
    </row>
    <row r="530" spans="1:1" x14ac:dyDescent="0.25">
      <c r="A530" t="s">
        <v>7</v>
      </c>
    </row>
    <row r="531" spans="1:1" x14ac:dyDescent="0.25">
      <c r="A531" t="s">
        <v>765</v>
      </c>
    </row>
    <row r="532" spans="1:1" x14ac:dyDescent="0.25">
      <c r="A532" t="s">
        <v>766</v>
      </c>
    </row>
    <row r="533" spans="1:1" x14ac:dyDescent="0.25">
      <c r="A533" t="s">
        <v>767</v>
      </c>
    </row>
    <row r="534" spans="1:1" x14ac:dyDescent="0.25">
      <c r="A534" t="s">
        <v>13</v>
      </c>
    </row>
    <row r="536" spans="1:1" x14ac:dyDescent="0.25">
      <c r="A536" t="s">
        <v>453</v>
      </c>
    </row>
    <row r="537" spans="1:1" x14ac:dyDescent="0.25">
      <c r="A537" t="s">
        <v>768</v>
      </c>
    </row>
    <row r="538" spans="1:1" x14ac:dyDescent="0.25">
      <c r="A538" t="s">
        <v>769</v>
      </c>
    </row>
    <row r="539" spans="1:1" x14ac:dyDescent="0.25">
      <c r="A539" t="s">
        <v>770</v>
      </c>
    </row>
    <row r="541" spans="1:1" x14ac:dyDescent="0.25">
      <c r="A541" t="s">
        <v>771</v>
      </c>
    </row>
    <row r="542" spans="1:1" x14ac:dyDescent="0.25">
      <c r="A542" t="s">
        <v>772</v>
      </c>
    </row>
    <row r="544" spans="1:1" x14ac:dyDescent="0.25">
      <c r="A544" t="s">
        <v>458</v>
      </c>
    </row>
    <row r="545" spans="1:1" x14ac:dyDescent="0.25">
      <c r="A545" t="s">
        <v>773</v>
      </c>
    </row>
    <row r="546" spans="1:1" x14ac:dyDescent="0.25">
      <c r="A546" t="s">
        <v>460</v>
      </c>
    </row>
    <row r="547" spans="1:1" x14ac:dyDescent="0.25">
      <c r="A547" t="s">
        <v>774</v>
      </c>
    </row>
    <row r="549" spans="1:1" x14ac:dyDescent="0.25">
      <c r="A549" t="s">
        <v>462</v>
      </c>
    </row>
    <row r="550" spans="1:1" x14ac:dyDescent="0.25">
      <c r="A550" t="s">
        <v>775</v>
      </c>
    </row>
    <row r="551" spans="1:1" x14ac:dyDescent="0.25">
      <c r="A551" t="s">
        <v>776</v>
      </c>
    </row>
    <row r="552" spans="1:1" x14ac:dyDescent="0.25">
      <c r="A552" t="s">
        <v>777</v>
      </c>
    </row>
    <row r="553" spans="1:1" x14ac:dyDescent="0.25">
      <c r="A553" t="s">
        <v>778</v>
      </c>
    </row>
    <row r="554" spans="1:1" x14ac:dyDescent="0.25">
      <c r="A554" t="s">
        <v>779</v>
      </c>
    </row>
    <row r="556" spans="1:1" x14ac:dyDescent="0.25">
      <c r="A556" t="s">
        <v>434</v>
      </c>
    </row>
    <row r="557" spans="1:1" x14ac:dyDescent="0.25">
      <c r="A557" t="s">
        <v>780</v>
      </c>
    </row>
    <row r="558" spans="1:1" x14ac:dyDescent="0.25">
      <c r="A558" t="s">
        <v>781</v>
      </c>
    </row>
    <row r="559" spans="1:1" x14ac:dyDescent="0.25">
      <c r="A559" t="s">
        <v>782</v>
      </c>
    </row>
    <row r="561" spans="1:1" x14ac:dyDescent="0.25">
      <c r="A561" t="s">
        <v>43</v>
      </c>
    </row>
    <row r="562" spans="1:1" x14ac:dyDescent="0.25">
      <c r="A562" t="s">
        <v>783</v>
      </c>
    </row>
    <row r="563" spans="1:1" x14ac:dyDescent="0.25">
      <c r="A563" t="s">
        <v>45</v>
      </c>
    </row>
    <row r="564" spans="1:1" x14ac:dyDescent="0.25">
      <c r="A564" t="s">
        <v>784</v>
      </c>
    </row>
    <row r="565" spans="1:1" x14ac:dyDescent="0.25">
      <c r="A565" t="s">
        <v>785</v>
      </c>
    </row>
    <row r="566" spans="1:1" x14ac:dyDescent="0.25">
      <c r="A566" t="s">
        <v>786</v>
      </c>
    </row>
    <row r="567" spans="1:1" x14ac:dyDescent="0.25">
      <c r="A567" t="s">
        <v>787</v>
      </c>
    </row>
    <row r="568" spans="1:1" x14ac:dyDescent="0.25">
      <c r="A568" t="s">
        <v>788</v>
      </c>
    </row>
    <row r="569" spans="1:1" x14ac:dyDescent="0.25">
      <c r="A569" t="s">
        <v>789</v>
      </c>
    </row>
    <row r="570" spans="1:1" x14ac:dyDescent="0.25">
      <c r="A570" t="s">
        <v>790</v>
      </c>
    </row>
    <row r="571" spans="1:1" x14ac:dyDescent="0.25">
      <c r="A571" t="s">
        <v>791</v>
      </c>
    </row>
    <row r="572" spans="1:1" x14ac:dyDescent="0.25">
      <c r="A572" t="s">
        <v>792</v>
      </c>
    </row>
    <row r="576" spans="1:1" x14ac:dyDescent="0.25">
      <c r="A576" t="s">
        <v>906</v>
      </c>
    </row>
    <row r="577" spans="1:1" x14ac:dyDescent="0.25">
      <c r="A577" t="s">
        <v>801</v>
      </c>
    </row>
    <row r="579" spans="1:1" x14ac:dyDescent="0.25">
      <c r="A579" t="s">
        <v>441</v>
      </c>
    </row>
    <row r="580" spans="1:1" x14ac:dyDescent="0.25">
      <c r="A580" t="s">
        <v>802</v>
      </c>
    </row>
    <row r="581" spans="1:1" x14ac:dyDescent="0.25">
      <c r="A581" t="s">
        <v>803</v>
      </c>
    </row>
    <row r="583" spans="1:1" x14ac:dyDescent="0.25">
      <c r="A583" t="s">
        <v>444</v>
      </c>
    </row>
    <row r="584" spans="1:1" x14ac:dyDescent="0.25">
      <c r="A584" t="s">
        <v>804</v>
      </c>
    </row>
    <row r="585" spans="1:1" x14ac:dyDescent="0.25">
      <c r="A585" t="s">
        <v>805</v>
      </c>
    </row>
    <row r="586" spans="1:1" x14ac:dyDescent="0.25">
      <c r="A586" t="s">
        <v>7</v>
      </c>
    </row>
    <row r="587" spans="1:1" x14ac:dyDescent="0.25">
      <c r="A587" t="s">
        <v>806</v>
      </c>
    </row>
    <row r="588" spans="1:1" x14ac:dyDescent="0.25">
      <c r="A588" t="s">
        <v>807</v>
      </c>
    </row>
    <row r="589" spans="1:1" x14ac:dyDescent="0.25">
      <c r="A589" t="s">
        <v>808</v>
      </c>
    </row>
    <row r="590" spans="1:1" x14ac:dyDescent="0.25">
      <c r="A590" t="s">
        <v>809</v>
      </c>
    </row>
    <row r="591" spans="1:1" x14ac:dyDescent="0.25">
      <c r="A591" t="s">
        <v>810</v>
      </c>
    </row>
    <row r="592" spans="1:1" x14ac:dyDescent="0.25">
      <c r="A592" t="s">
        <v>13</v>
      </c>
    </row>
    <row r="594" spans="1:1" x14ac:dyDescent="0.25">
      <c r="A594" t="s">
        <v>453</v>
      </c>
    </row>
    <row r="595" spans="1:1" x14ac:dyDescent="0.25">
      <c r="A595" t="s">
        <v>811</v>
      </c>
    </row>
    <row r="596" spans="1:1" x14ac:dyDescent="0.25">
      <c r="A596" t="s">
        <v>812</v>
      </c>
    </row>
    <row r="597" spans="1:1" x14ac:dyDescent="0.25">
      <c r="A597" t="s">
        <v>813</v>
      </c>
    </row>
    <row r="599" spans="1:1" x14ac:dyDescent="0.25">
      <c r="A599" t="s">
        <v>771</v>
      </c>
    </row>
    <row r="601" spans="1:1" x14ac:dyDescent="0.25">
      <c r="A601" t="s">
        <v>458</v>
      </c>
    </row>
    <row r="602" spans="1:1" x14ac:dyDescent="0.25">
      <c r="A602" t="s">
        <v>814</v>
      </c>
    </row>
    <row r="603" spans="1:1" x14ac:dyDescent="0.25">
      <c r="A603" t="s">
        <v>460</v>
      </c>
    </row>
    <row r="604" spans="1:1" x14ac:dyDescent="0.25">
      <c r="A604" t="s">
        <v>815</v>
      </c>
    </row>
    <row r="606" spans="1:1" x14ac:dyDescent="0.25">
      <c r="A606" t="s">
        <v>462</v>
      </c>
    </row>
    <row r="607" spans="1:1" x14ac:dyDescent="0.25">
      <c r="A607" t="s">
        <v>816</v>
      </c>
    </row>
    <row r="608" spans="1:1" x14ac:dyDescent="0.25">
      <c r="A608" t="s">
        <v>817</v>
      </c>
    </row>
    <row r="609" spans="1:1" x14ac:dyDescent="0.25">
      <c r="A609" t="s">
        <v>818</v>
      </c>
    </row>
    <row r="610" spans="1:1" x14ac:dyDescent="0.25">
      <c r="A610" t="s">
        <v>819</v>
      </c>
    </row>
    <row r="611" spans="1:1" x14ac:dyDescent="0.25">
      <c r="A611" t="s">
        <v>820</v>
      </c>
    </row>
    <row r="613" spans="1:1" x14ac:dyDescent="0.25">
      <c r="A613" t="s">
        <v>466</v>
      </c>
    </row>
    <row r="614" spans="1:1" x14ac:dyDescent="0.25">
      <c r="A614" t="s">
        <v>821</v>
      </c>
    </row>
    <row r="615" spans="1:1" x14ac:dyDescent="0.25">
      <c r="A615" t="s">
        <v>822</v>
      </c>
    </row>
    <row r="616" spans="1:1" x14ac:dyDescent="0.25">
      <c r="A616" t="s">
        <v>823</v>
      </c>
    </row>
    <row r="618" spans="1:1" x14ac:dyDescent="0.25">
      <c r="A618" t="s">
        <v>470</v>
      </c>
    </row>
    <row r="619" spans="1:1" x14ac:dyDescent="0.25">
      <c r="A619" t="s">
        <v>824</v>
      </c>
    </row>
    <row r="620" spans="1:1" x14ac:dyDescent="0.25">
      <c r="A620" t="s">
        <v>825</v>
      </c>
    </row>
    <row r="621" spans="1:1" x14ac:dyDescent="0.25">
      <c r="A621" t="s">
        <v>826</v>
      </c>
    </row>
    <row r="622" spans="1:1" x14ac:dyDescent="0.25">
      <c r="A622" t="s">
        <v>827</v>
      </c>
    </row>
    <row r="623" spans="1:1" x14ac:dyDescent="0.25">
      <c r="A623" t="s">
        <v>828</v>
      </c>
    </row>
    <row r="625" spans="1:1" x14ac:dyDescent="0.25">
      <c r="A625" t="s">
        <v>434</v>
      </c>
    </row>
    <row r="626" spans="1:1" x14ac:dyDescent="0.25">
      <c r="A626" t="s">
        <v>829</v>
      </c>
    </row>
    <row r="627" spans="1:1" x14ac:dyDescent="0.25">
      <c r="A627" t="s">
        <v>830</v>
      </c>
    </row>
    <row r="628" spans="1:1" x14ac:dyDescent="0.25">
      <c r="A628" t="s">
        <v>831</v>
      </c>
    </row>
    <row r="630" spans="1:1" x14ac:dyDescent="0.25">
      <c r="A630" t="s">
        <v>43</v>
      </c>
    </row>
    <row r="631" spans="1:1" x14ac:dyDescent="0.25">
      <c r="A631" t="s">
        <v>832</v>
      </c>
    </row>
    <row r="632" spans="1:1" x14ac:dyDescent="0.25">
      <c r="A632" t="s">
        <v>45</v>
      </c>
    </row>
    <row r="633" spans="1:1" x14ac:dyDescent="0.25">
      <c r="A633" t="s">
        <v>833</v>
      </c>
    </row>
    <row r="634" spans="1:1" x14ac:dyDescent="0.25">
      <c r="A634" t="s">
        <v>834</v>
      </c>
    </row>
    <row r="635" spans="1:1" x14ac:dyDescent="0.25">
      <c r="A635" t="s">
        <v>835</v>
      </c>
    </row>
    <row r="636" spans="1:1" x14ac:dyDescent="0.25">
      <c r="A636" t="s">
        <v>836</v>
      </c>
    </row>
    <row r="637" spans="1:1" x14ac:dyDescent="0.25">
      <c r="A637" t="s">
        <v>837</v>
      </c>
    </row>
    <row r="638" spans="1:1" x14ac:dyDescent="0.25">
      <c r="A638" t="s">
        <v>838</v>
      </c>
    </row>
    <row r="639" spans="1:1" x14ac:dyDescent="0.25">
      <c r="A639" t="s">
        <v>839</v>
      </c>
    </row>
    <row r="640" spans="1:1" x14ac:dyDescent="0.25">
      <c r="A640" t="s">
        <v>840</v>
      </c>
    </row>
    <row r="641" spans="1:1" x14ac:dyDescent="0.25">
      <c r="A641" t="s">
        <v>841</v>
      </c>
    </row>
    <row r="643" spans="1:1" x14ac:dyDescent="0.25">
      <c r="A643" t="s">
        <v>435</v>
      </c>
    </row>
    <row r="644" spans="1:1" x14ac:dyDescent="0.25">
      <c r="A644" t="s">
        <v>436</v>
      </c>
    </row>
    <row r="645" spans="1:1" x14ac:dyDescent="0.25">
      <c r="A645" t="s">
        <v>842</v>
      </c>
    </row>
    <row r="646" spans="1:1" x14ac:dyDescent="0.25">
      <c r="A646" t="s">
        <v>843</v>
      </c>
    </row>
    <row r="647" spans="1:1" x14ac:dyDescent="0.25">
      <c r="A647" t="s">
        <v>844</v>
      </c>
    </row>
    <row r="648" spans="1:1" x14ac:dyDescent="0.25">
      <c r="A648" t="s">
        <v>845</v>
      </c>
    </row>
    <row r="649" spans="1:1" x14ac:dyDescent="0.25">
      <c r="A649" t="s">
        <v>437</v>
      </c>
    </row>
    <row r="650" spans="1:1" x14ac:dyDescent="0.25">
      <c r="A650" t="s">
        <v>842</v>
      </c>
    </row>
    <row r="651" spans="1:1" x14ac:dyDescent="0.25">
      <c r="A651" t="s">
        <v>846</v>
      </c>
    </row>
    <row r="652" spans="1:1" x14ac:dyDescent="0.25">
      <c r="A652" t="s">
        <v>847</v>
      </c>
    </row>
    <row r="653" spans="1:1" x14ac:dyDescent="0.25">
      <c r="A653" t="s">
        <v>848</v>
      </c>
    </row>
    <row r="654" spans="1:1" x14ac:dyDescent="0.25">
      <c r="A654" t="s">
        <v>438</v>
      </c>
    </row>
    <row r="655" spans="1:1" x14ac:dyDescent="0.25">
      <c r="A655" t="s">
        <v>842</v>
      </c>
    </row>
    <row r="656" spans="1:1" x14ac:dyDescent="0.25">
      <c r="A656" t="s">
        <v>849</v>
      </c>
    </row>
    <row r="657" spans="1:1" x14ac:dyDescent="0.25">
      <c r="A657" t="s">
        <v>850</v>
      </c>
    </row>
    <row r="658" spans="1:1" x14ac:dyDescent="0.25">
      <c r="A658" t="s">
        <v>851</v>
      </c>
    </row>
    <row r="659" spans="1:1" x14ac:dyDescent="0.25">
      <c r="A659" t="s">
        <v>852</v>
      </c>
    </row>
    <row r="663" spans="1:1" x14ac:dyDescent="0.25">
      <c r="A663" t="s">
        <v>908</v>
      </c>
    </row>
    <row r="664" spans="1:1" x14ac:dyDescent="0.25">
      <c r="A664" t="s">
        <v>960</v>
      </c>
    </row>
    <row r="666" spans="1:1" x14ac:dyDescent="0.25">
      <c r="A666" t="s">
        <v>441</v>
      </c>
    </row>
    <row r="667" spans="1:1" x14ac:dyDescent="0.25">
      <c r="A667" t="s">
        <v>853</v>
      </c>
    </row>
    <row r="668" spans="1:1" x14ac:dyDescent="0.25">
      <c r="A668" t="s">
        <v>854</v>
      </c>
    </row>
    <row r="670" spans="1:1" x14ac:dyDescent="0.25">
      <c r="A670" t="s">
        <v>444</v>
      </c>
    </row>
    <row r="671" spans="1:1" x14ac:dyDescent="0.25">
      <c r="A671" t="s">
        <v>855</v>
      </c>
    </row>
    <row r="672" spans="1:1" x14ac:dyDescent="0.25">
      <c r="A672" t="s">
        <v>856</v>
      </c>
    </row>
    <row r="673" spans="1:1" x14ac:dyDescent="0.25">
      <c r="A673" t="s">
        <v>7</v>
      </c>
    </row>
    <row r="674" spans="1:1" x14ac:dyDescent="0.25">
      <c r="A674" t="s">
        <v>857</v>
      </c>
    </row>
    <row r="675" spans="1:1" x14ac:dyDescent="0.25">
      <c r="A675" t="s">
        <v>858</v>
      </c>
    </row>
    <row r="676" spans="1:1" x14ac:dyDescent="0.25">
      <c r="A676" t="s">
        <v>859</v>
      </c>
    </row>
    <row r="677" spans="1:1" x14ac:dyDescent="0.25">
      <c r="A677" t="s">
        <v>860</v>
      </c>
    </row>
    <row r="678" spans="1:1" x14ac:dyDescent="0.25">
      <c r="A678" t="s">
        <v>861</v>
      </c>
    </row>
    <row r="679" spans="1:1" x14ac:dyDescent="0.25">
      <c r="A679" t="s">
        <v>862</v>
      </c>
    </row>
    <row r="680" spans="1:1" x14ac:dyDescent="0.25">
      <c r="A680" t="s">
        <v>13</v>
      </c>
    </row>
    <row r="682" spans="1:1" x14ac:dyDescent="0.25">
      <c r="A682" t="s">
        <v>453</v>
      </c>
    </row>
    <row r="683" spans="1:1" x14ac:dyDescent="0.25">
      <c r="A683" t="s">
        <v>863</v>
      </c>
    </row>
    <row r="684" spans="1:1" x14ac:dyDescent="0.25">
      <c r="A684" t="s">
        <v>864</v>
      </c>
    </row>
    <row r="685" spans="1:1" x14ac:dyDescent="0.25">
      <c r="A685" t="s">
        <v>865</v>
      </c>
    </row>
    <row r="687" spans="1:1" x14ac:dyDescent="0.25">
      <c r="A687" t="s">
        <v>771</v>
      </c>
    </row>
    <row r="689" spans="1:1" x14ac:dyDescent="0.25">
      <c r="A689" t="s">
        <v>458</v>
      </c>
    </row>
    <row r="690" spans="1:1" x14ac:dyDescent="0.25">
      <c r="A690" t="s">
        <v>866</v>
      </c>
    </row>
    <row r="691" spans="1:1" x14ac:dyDescent="0.25">
      <c r="A691" t="s">
        <v>460</v>
      </c>
    </row>
    <row r="692" spans="1:1" x14ac:dyDescent="0.25">
      <c r="A692" t="s">
        <v>867</v>
      </c>
    </row>
    <row r="694" spans="1:1" x14ac:dyDescent="0.25">
      <c r="A694" t="s">
        <v>462</v>
      </c>
    </row>
    <row r="695" spans="1:1" x14ac:dyDescent="0.25">
      <c r="A695" t="s">
        <v>868</v>
      </c>
    </row>
    <row r="696" spans="1:1" x14ac:dyDescent="0.25">
      <c r="A696" t="s">
        <v>869</v>
      </c>
    </row>
    <row r="697" spans="1:1" x14ac:dyDescent="0.25">
      <c r="A697" t="s">
        <v>870</v>
      </c>
    </row>
    <row r="698" spans="1:1" x14ac:dyDescent="0.25">
      <c r="A698" t="s">
        <v>871</v>
      </c>
    </row>
    <row r="700" spans="1:1" x14ac:dyDescent="0.25">
      <c r="A700" t="s">
        <v>466</v>
      </c>
    </row>
    <row r="701" spans="1:1" x14ac:dyDescent="0.25">
      <c r="A701" t="s">
        <v>872</v>
      </c>
    </row>
    <row r="702" spans="1:1" x14ac:dyDescent="0.25">
      <c r="A702" t="s">
        <v>873</v>
      </c>
    </row>
    <row r="703" spans="1:1" x14ac:dyDescent="0.25">
      <c r="A703" t="s">
        <v>874</v>
      </c>
    </row>
    <row r="705" spans="1:1" x14ac:dyDescent="0.25">
      <c r="A705" t="s">
        <v>470</v>
      </c>
    </row>
    <row r="706" spans="1:1" x14ac:dyDescent="0.25">
      <c r="A706" t="s">
        <v>875</v>
      </c>
    </row>
    <row r="707" spans="1:1" x14ac:dyDescent="0.25">
      <c r="A707" t="s">
        <v>876</v>
      </c>
    </row>
    <row r="708" spans="1:1" x14ac:dyDescent="0.25">
      <c r="A708" t="s">
        <v>877</v>
      </c>
    </row>
    <row r="709" spans="1:1" x14ac:dyDescent="0.25">
      <c r="A709" t="s">
        <v>878</v>
      </c>
    </row>
    <row r="710" spans="1:1" x14ac:dyDescent="0.25">
      <c r="A710" t="s">
        <v>879</v>
      </c>
    </row>
    <row r="712" spans="1:1" x14ac:dyDescent="0.25">
      <c r="A712" t="s">
        <v>434</v>
      </c>
    </row>
    <row r="713" spans="1:1" x14ac:dyDescent="0.25">
      <c r="A713" t="s">
        <v>880</v>
      </c>
    </row>
    <row r="714" spans="1:1" x14ac:dyDescent="0.25">
      <c r="A714" t="s">
        <v>881</v>
      </c>
    </row>
    <row r="715" spans="1:1" x14ac:dyDescent="0.25">
      <c r="A715" t="s">
        <v>882</v>
      </c>
    </row>
    <row r="717" spans="1:1" x14ac:dyDescent="0.25">
      <c r="A717" t="s">
        <v>43</v>
      </c>
    </row>
    <row r="718" spans="1:1" x14ac:dyDescent="0.25">
      <c r="A718" t="s">
        <v>883</v>
      </c>
    </row>
    <row r="719" spans="1:1" x14ac:dyDescent="0.25">
      <c r="A719" t="s">
        <v>45</v>
      </c>
    </row>
    <row r="720" spans="1:1" x14ac:dyDescent="0.25">
      <c r="A720" t="s">
        <v>884</v>
      </c>
    </row>
    <row r="721" spans="1:1" x14ac:dyDescent="0.25">
      <c r="A721" t="s">
        <v>885</v>
      </c>
    </row>
    <row r="722" spans="1:1" x14ac:dyDescent="0.25">
      <c r="A722" t="s">
        <v>886</v>
      </c>
    </row>
    <row r="723" spans="1:1" x14ac:dyDescent="0.25">
      <c r="A723" t="s">
        <v>887</v>
      </c>
    </row>
    <row r="724" spans="1:1" x14ac:dyDescent="0.25">
      <c r="A724" t="s">
        <v>888</v>
      </c>
    </row>
    <row r="725" spans="1:1" x14ac:dyDescent="0.25">
      <c r="A725" t="s">
        <v>889</v>
      </c>
    </row>
    <row r="726" spans="1:1" x14ac:dyDescent="0.25">
      <c r="A726" t="s">
        <v>890</v>
      </c>
    </row>
    <row r="727" spans="1:1" x14ac:dyDescent="0.25">
      <c r="A727" t="s">
        <v>891</v>
      </c>
    </row>
    <row r="728" spans="1:1" x14ac:dyDescent="0.25">
      <c r="A728" t="s">
        <v>892</v>
      </c>
    </row>
    <row r="730" spans="1:1" x14ac:dyDescent="0.25">
      <c r="A730" t="s">
        <v>435</v>
      </c>
    </row>
    <row r="731" spans="1:1" x14ac:dyDescent="0.25">
      <c r="A731" t="s">
        <v>436</v>
      </c>
    </row>
    <row r="732" spans="1:1" x14ac:dyDescent="0.25">
      <c r="A732" t="s">
        <v>893</v>
      </c>
    </row>
    <row r="733" spans="1:1" x14ac:dyDescent="0.25">
      <c r="A733" t="s">
        <v>894</v>
      </c>
    </row>
    <row r="734" spans="1:1" x14ac:dyDescent="0.25">
      <c r="A734" t="s">
        <v>895</v>
      </c>
    </row>
    <row r="735" spans="1:1" x14ac:dyDescent="0.25">
      <c r="A735" t="s">
        <v>896</v>
      </c>
    </row>
    <row r="736" spans="1:1" x14ac:dyDescent="0.25">
      <c r="A736" t="s">
        <v>437</v>
      </c>
    </row>
    <row r="737" spans="1:1" x14ac:dyDescent="0.25">
      <c r="A737" t="s">
        <v>893</v>
      </c>
    </row>
    <row r="738" spans="1:1" x14ac:dyDescent="0.25">
      <c r="A738" t="s">
        <v>897</v>
      </c>
    </row>
    <row r="739" spans="1:1" x14ac:dyDescent="0.25">
      <c r="A739" t="s">
        <v>898</v>
      </c>
    </row>
    <row r="740" spans="1:1" x14ac:dyDescent="0.25">
      <c r="A740" t="s">
        <v>899</v>
      </c>
    </row>
    <row r="741" spans="1:1" x14ac:dyDescent="0.25">
      <c r="A741" t="s">
        <v>438</v>
      </c>
    </row>
    <row r="742" spans="1:1" x14ac:dyDescent="0.25">
      <c r="A742" t="s">
        <v>893</v>
      </c>
    </row>
    <row r="743" spans="1:1" x14ac:dyDescent="0.25">
      <c r="A743" t="s">
        <v>897</v>
      </c>
    </row>
    <row r="744" spans="1:1" x14ac:dyDescent="0.25">
      <c r="A744" t="s">
        <v>900</v>
      </c>
    </row>
    <row r="745" spans="1:1" x14ac:dyDescent="0.25">
      <c r="A745" t="s">
        <v>901</v>
      </c>
    </row>
    <row r="746" spans="1:1" x14ac:dyDescent="0.25">
      <c r="A746" t="s">
        <v>902</v>
      </c>
    </row>
    <row r="749" spans="1:1" x14ac:dyDescent="0.25">
      <c r="A749" t="s">
        <v>909</v>
      </c>
    </row>
    <row r="750" spans="1:1" x14ac:dyDescent="0.25">
      <c r="A750" t="s">
        <v>910</v>
      </c>
    </row>
    <row r="752" spans="1:1" x14ac:dyDescent="0.25">
      <c r="A752" t="s">
        <v>441</v>
      </c>
    </row>
    <row r="753" spans="1:1" x14ac:dyDescent="0.25">
      <c r="A753" t="s">
        <v>911</v>
      </c>
    </row>
    <row r="754" spans="1:1" x14ac:dyDescent="0.25">
      <c r="A754" t="s">
        <v>912</v>
      </c>
    </row>
    <row r="755" spans="1:1" x14ac:dyDescent="0.25">
      <c r="A755" t="s">
        <v>913</v>
      </c>
    </row>
    <row r="757" spans="1:1" x14ac:dyDescent="0.25">
      <c r="A757" t="s">
        <v>444</v>
      </c>
    </row>
    <row r="758" spans="1:1" x14ac:dyDescent="0.25">
      <c r="A758" t="s">
        <v>914</v>
      </c>
    </row>
    <row r="759" spans="1:1" x14ac:dyDescent="0.25">
      <c r="A759" t="s">
        <v>915</v>
      </c>
    </row>
    <row r="760" spans="1:1" x14ac:dyDescent="0.25">
      <c r="A760" t="s">
        <v>7</v>
      </c>
    </row>
    <row r="761" spans="1:1" x14ac:dyDescent="0.25">
      <c r="A761" t="s">
        <v>916</v>
      </c>
    </row>
    <row r="762" spans="1:1" x14ac:dyDescent="0.25">
      <c r="A762" t="s">
        <v>917</v>
      </c>
    </row>
    <row r="763" spans="1:1" x14ac:dyDescent="0.25">
      <c r="A763" t="s">
        <v>918</v>
      </c>
    </row>
    <row r="764" spans="1:1" x14ac:dyDescent="0.25">
      <c r="A764" t="s">
        <v>13</v>
      </c>
    </row>
    <row r="766" spans="1:1" x14ac:dyDescent="0.25">
      <c r="A766" t="s">
        <v>453</v>
      </c>
    </row>
    <row r="767" spans="1:1" x14ac:dyDescent="0.25">
      <c r="A767" t="s">
        <v>919</v>
      </c>
    </row>
    <row r="768" spans="1:1" x14ac:dyDescent="0.25">
      <c r="A768" t="s">
        <v>920</v>
      </c>
    </row>
    <row r="769" spans="1:1" x14ac:dyDescent="0.25">
      <c r="A769" t="s">
        <v>921</v>
      </c>
    </row>
    <row r="771" spans="1:1" x14ac:dyDescent="0.25">
      <c r="A771" t="s">
        <v>771</v>
      </c>
    </row>
    <row r="773" spans="1:1" x14ac:dyDescent="0.25">
      <c r="A773" t="s">
        <v>458</v>
      </c>
    </row>
    <row r="774" spans="1:1" x14ac:dyDescent="0.25">
      <c r="A774" t="s">
        <v>922</v>
      </c>
    </row>
    <row r="775" spans="1:1" x14ac:dyDescent="0.25">
      <c r="A775" t="s">
        <v>460</v>
      </c>
    </row>
    <row r="776" spans="1:1" x14ac:dyDescent="0.25">
      <c r="A776" t="s">
        <v>923</v>
      </c>
    </row>
    <row r="778" spans="1:1" x14ac:dyDescent="0.25">
      <c r="A778" t="s">
        <v>462</v>
      </c>
    </row>
    <row r="779" spans="1:1" x14ac:dyDescent="0.25">
      <c r="A779" t="s">
        <v>924</v>
      </c>
    </row>
    <row r="780" spans="1:1" x14ac:dyDescent="0.25">
      <c r="A780" t="s">
        <v>925</v>
      </c>
    </row>
    <row r="781" spans="1:1" x14ac:dyDescent="0.25">
      <c r="A781" t="s">
        <v>926</v>
      </c>
    </row>
    <row r="782" spans="1:1" x14ac:dyDescent="0.25">
      <c r="A782" t="s">
        <v>927</v>
      </c>
    </row>
    <row r="784" spans="1:1" x14ac:dyDescent="0.25">
      <c r="A784" t="s">
        <v>466</v>
      </c>
    </row>
    <row r="785" spans="1:1" x14ac:dyDescent="0.25">
      <c r="A785" t="s">
        <v>928</v>
      </c>
    </row>
    <row r="786" spans="1:1" x14ac:dyDescent="0.25">
      <c r="A786" t="s">
        <v>929</v>
      </c>
    </row>
    <row r="787" spans="1:1" x14ac:dyDescent="0.25">
      <c r="A787" t="s">
        <v>930</v>
      </c>
    </row>
    <row r="789" spans="1:1" x14ac:dyDescent="0.25">
      <c r="A789" t="s">
        <v>470</v>
      </c>
    </row>
    <row r="790" spans="1:1" x14ac:dyDescent="0.25">
      <c r="A790" t="s">
        <v>931</v>
      </c>
    </row>
    <row r="791" spans="1:1" x14ac:dyDescent="0.25">
      <c r="A791" t="s">
        <v>932</v>
      </c>
    </row>
    <row r="792" spans="1:1" x14ac:dyDescent="0.25">
      <c r="A792" t="s">
        <v>933</v>
      </c>
    </row>
    <row r="793" spans="1:1" x14ac:dyDescent="0.25">
      <c r="A793" t="s">
        <v>934</v>
      </c>
    </row>
    <row r="794" spans="1:1" x14ac:dyDescent="0.25">
      <c r="A794" t="s">
        <v>935</v>
      </c>
    </row>
    <row r="796" spans="1:1" x14ac:dyDescent="0.25">
      <c r="A796" t="s">
        <v>434</v>
      </c>
    </row>
    <row r="797" spans="1:1" x14ac:dyDescent="0.25">
      <c r="A797" t="s">
        <v>936</v>
      </c>
    </row>
    <row r="798" spans="1:1" x14ac:dyDescent="0.25">
      <c r="A798" t="s">
        <v>937</v>
      </c>
    </row>
    <row r="799" spans="1:1" x14ac:dyDescent="0.25">
      <c r="A799" t="s">
        <v>938</v>
      </c>
    </row>
    <row r="801" spans="1:1" x14ac:dyDescent="0.25">
      <c r="A801" t="s">
        <v>43</v>
      </c>
    </row>
    <row r="802" spans="1:1" x14ac:dyDescent="0.25">
      <c r="A802" t="s">
        <v>939</v>
      </c>
    </row>
    <row r="803" spans="1:1" x14ac:dyDescent="0.25">
      <c r="A803" t="s">
        <v>45</v>
      </c>
    </row>
    <row r="804" spans="1:1" x14ac:dyDescent="0.25">
      <c r="A804" t="s">
        <v>940</v>
      </c>
    </row>
    <row r="805" spans="1:1" x14ac:dyDescent="0.25">
      <c r="A805" t="s">
        <v>941</v>
      </c>
    </row>
    <row r="806" spans="1:1" x14ac:dyDescent="0.25">
      <c r="A806" t="s">
        <v>942</v>
      </c>
    </row>
    <row r="807" spans="1:1" x14ac:dyDescent="0.25">
      <c r="A807" t="s">
        <v>943</v>
      </c>
    </row>
    <row r="808" spans="1:1" x14ac:dyDescent="0.25">
      <c r="A808" t="s">
        <v>944</v>
      </c>
    </row>
    <row r="809" spans="1:1" x14ac:dyDescent="0.25">
      <c r="A809" t="s">
        <v>945</v>
      </c>
    </row>
    <row r="810" spans="1:1" x14ac:dyDescent="0.25">
      <c r="A810" t="s">
        <v>946</v>
      </c>
    </row>
    <row r="811" spans="1:1" x14ac:dyDescent="0.25">
      <c r="A811" t="s">
        <v>947</v>
      </c>
    </row>
    <row r="812" spans="1:1" x14ac:dyDescent="0.25">
      <c r="A812" t="s">
        <v>948</v>
      </c>
    </row>
    <row r="814" spans="1:1" x14ac:dyDescent="0.25">
      <c r="A814" t="s">
        <v>435</v>
      </c>
    </row>
    <row r="815" spans="1:1" x14ac:dyDescent="0.25">
      <c r="A815" t="s">
        <v>436</v>
      </c>
    </row>
    <row r="816" spans="1:1" x14ac:dyDescent="0.25">
      <c r="A816" t="s">
        <v>949</v>
      </c>
    </row>
    <row r="817" spans="1:1" x14ac:dyDescent="0.25">
      <c r="A817" t="s">
        <v>950</v>
      </c>
    </row>
    <row r="818" spans="1:1" x14ac:dyDescent="0.25">
      <c r="A818" t="s">
        <v>951</v>
      </c>
    </row>
    <row r="819" spans="1:1" x14ac:dyDescent="0.25">
      <c r="A819" t="s">
        <v>952</v>
      </c>
    </row>
    <row r="820" spans="1:1" x14ac:dyDescent="0.25">
      <c r="A820" t="s">
        <v>437</v>
      </c>
    </row>
    <row r="821" spans="1:1" x14ac:dyDescent="0.25">
      <c r="A821" t="s">
        <v>949</v>
      </c>
    </row>
    <row r="822" spans="1:1" x14ac:dyDescent="0.25">
      <c r="A822" t="s">
        <v>953</v>
      </c>
    </row>
    <row r="823" spans="1:1" x14ac:dyDescent="0.25">
      <c r="A823" t="s">
        <v>954</v>
      </c>
    </row>
    <row r="824" spans="1:1" x14ac:dyDescent="0.25">
      <c r="A824" t="s">
        <v>955</v>
      </c>
    </row>
    <row r="825" spans="1:1" x14ac:dyDescent="0.25">
      <c r="A825" t="s">
        <v>438</v>
      </c>
    </row>
    <row r="826" spans="1:1" x14ac:dyDescent="0.25">
      <c r="A826" t="s">
        <v>949</v>
      </c>
    </row>
    <row r="827" spans="1:1" x14ac:dyDescent="0.25">
      <c r="A827" t="s">
        <v>953</v>
      </c>
    </row>
    <row r="828" spans="1:1" x14ac:dyDescent="0.25">
      <c r="A828" t="s">
        <v>956</v>
      </c>
    </row>
    <row r="829" spans="1:1" x14ac:dyDescent="0.25">
      <c r="A829" t="s">
        <v>957</v>
      </c>
    </row>
    <row r="830" spans="1:1" x14ac:dyDescent="0.25">
      <c r="A830" t="s">
        <v>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0D89-456A-4B0D-A71F-C1D47C7F149F}">
  <dimension ref="A1:Q272"/>
  <sheetViews>
    <sheetView topLeftCell="A243" workbookViewId="0">
      <selection activeCell="I276" sqref="I276"/>
    </sheetView>
  </sheetViews>
  <sheetFormatPr defaultRowHeight="15" x14ac:dyDescent="0.25"/>
  <sheetData>
    <row r="1" spans="1:17" x14ac:dyDescent="0.25">
      <c r="A1" t="s">
        <v>1065</v>
      </c>
    </row>
    <row r="2" spans="1:17" x14ac:dyDescent="0.25">
      <c r="A2" t="s">
        <v>1066</v>
      </c>
    </row>
    <row r="3" spans="1:17" x14ac:dyDescent="0.25">
      <c r="A3" t="s">
        <v>1009</v>
      </c>
    </row>
    <row r="4" spans="1:17" x14ac:dyDescent="0.25">
      <c r="A4" t="s">
        <v>7</v>
      </c>
    </row>
    <row r="5" spans="1:17" x14ac:dyDescent="0.25">
      <c r="A5" t="s">
        <v>1010</v>
      </c>
    </row>
    <row r="6" spans="1:17" x14ac:dyDescent="0.25">
      <c r="A6" t="s">
        <v>1011</v>
      </c>
    </row>
    <row r="7" spans="1:17" x14ac:dyDescent="0.25">
      <c r="A7" t="s">
        <v>1012</v>
      </c>
    </row>
    <row r="8" spans="1:17" x14ac:dyDescent="0.25">
      <c r="A8" t="s">
        <v>13</v>
      </c>
    </row>
    <row r="9" spans="1:17" x14ac:dyDescent="0.25">
      <c r="A9" t="s">
        <v>1013</v>
      </c>
    </row>
    <row r="10" spans="1:17" x14ac:dyDescent="0.25">
      <c r="A10" t="s">
        <v>1014</v>
      </c>
    </row>
    <row r="11" spans="1:17" x14ac:dyDescent="0.25">
      <c r="A11" t="s">
        <v>1015</v>
      </c>
    </row>
    <row r="12" spans="1:17" x14ac:dyDescent="0.25">
      <c r="A12" t="s">
        <v>1016</v>
      </c>
    </row>
    <row r="14" spans="1:17" x14ac:dyDescent="0.25">
      <c r="A14" t="s">
        <v>43</v>
      </c>
      <c r="Q14">
        <f>F17</f>
        <v>0</v>
      </c>
    </row>
    <row r="15" spans="1:17" x14ac:dyDescent="0.25">
      <c r="A15" t="s">
        <v>1017</v>
      </c>
      <c r="H15">
        <f>1697.53+2958.78+5323.47</f>
        <v>9979.7800000000007</v>
      </c>
    </row>
    <row r="16" spans="1:17" x14ac:dyDescent="0.25">
      <c r="A16" t="s">
        <v>45</v>
      </c>
    </row>
    <row r="17" spans="1:1" x14ac:dyDescent="0.25">
      <c r="A17" t="s">
        <v>1018</v>
      </c>
    </row>
    <row r="18" spans="1:1" x14ac:dyDescent="0.25">
      <c r="A18" t="s">
        <v>1019</v>
      </c>
    </row>
    <row r="19" spans="1:1" x14ac:dyDescent="0.25">
      <c r="A19" t="s">
        <v>1020</v>
      </c>
    </row>
    <row r="20" spans="1:1" x14ac:dyDescent="0.25">
      <c r="A20" t="s">
        <v>1021</v>
      </c>
    </row>
    <row r="21" spans="1:1" x14ac:dyDescent="0.25">
      <c r="A21" t="s">
        <v>1022</v>
      </c>
    </row>
    <row r="22" spans="1:1" x14ac:dyDescent="0.25">
      <c r="A22" t="s">
        <v>1023</v>
      </c>
    </row>
    <row r="23" spans="1:1" x14ac:dyDescent="0.25">
      <c r="A23" t="s">
        <v>1024</v>
      </c>
    </row>
    <row r="25" spans="1:1" x14ac:dyDescent="0.25">
      <c r="A25" t="s">
        <v>1025</v>
      </c>
    </row>
    <row r="26" spans="1:1" x14ac:dyDescent="0.25">
      <c r="A26" t="s">
        <v>1026</v>
      </c>
    </row>
    <row r="32" spans="1:1" x14ac:dyDescent="0.25">
      <c r="A32" t="s">
        <v>1068</v>
      </c>
    </row>
    <row r="33" spans="1:9" x14ac:dyDescent="0.25">
      <c r="A33" t="s">
        <v>1069</v>
      </c>
    </row>
    <row r="34" spans="1:9" x14ac:dyDescent="0.25">
      <c r="A34" t="s">
        <v>1009</v>
      </c>
    </row>
    <row r="35" spans="1:9" x14ac:dyDescent="0.25">
      <c r="A35" t="s">
        <v>7</v>
      </c>
    </row>
    <row r="36" spans="1:9" x14ac:dyDescent="0.25">
      <c r="A36" t="s">
        <v>1027</v>
      </c>
    </row>
    <row r="37" spans="1:9" x14ac:dyDescent="0.25">
      <c r="A37" t="s">
        <v>1028</v>
      </c>
    </row>
    <row r="38" spans="1:9" x14ac:dyDescent="0.25">
      <c r="A38" t="s">
        <v>1029</v>
      </c>
    </row>
    <row r="39" spans="1:9" x14ac:dyDescent="0.25">
      <c r="A39" t="s">
        <v>1030</v>
      </c>
    </row>
    <row r="40" spans="1:9" x14ac:dyDescent="0.25">
      <c r="A40" t="s">
        <v>13</v>
      </c>
    </row>
    <row r="41" spans="1:9" x14ac:dyDescent="0.25">
      <c r="A41" t="s">
        <v>1031</v>
      </c>
    </row>
    <row r="42" spans="1:9" x14ac:dyDescent="0.25">
      <c r="A42" t="s">
        <v>1032</v>
      </c>
    </row>
    <row r="43" spans="1:9" x14ac:dyDescent="0.25">
      <c r="A43" t="s">
        <v>1033</v>
      </c>
    </row>
    <row r="44" spans="1:9" x14ac:dyDescent="0.25">
      <c r="A44" t="s">
        <v>1034</v>
      </c>
    </row>
    <row r="46" spans="1:9" x14ac:dyDescent="0.25">
      <c r="A46" t="s">
        <v>43</v>
      </c>
    </row>
    <row r="47" spans="1:9" x14ac:dyDescent="0.25">
      <c r="A47" t="s">
        <v>1035</v>
      </c>
      <c r="I47">
        <f>7998.07+6349.76+10260.24</f>
        <v>24608.07</v>
      </c>
    </row>
    <row r="48" spans="1:9" x14ac:dyDescent="0.25">
      <c r="A48" t="s">
        <v>45</v>
      </c>
    </row>
    <row r="49" spans="1:1" x14ac:dyDescent="0.25">
      <c r="A49" t="s">
        <v>1036</v>
      </c>
    </row>
    <row r="50" spans="1:1" x14ac:dyDescent="0.25">
      <c r="A50" t="s">
        <v>1037</v>
      </c>
    </row>
    <row r="51" spans="1:1" x14ac:dyDescent="0.25">
      <c r="A51" t="s">
        <v>1038</v>
      </c>
    </row>
    <row r="52" spans="1:1" x14ac:dyDescent="0.25">
      <c r="A52" t="s">
        <v>1039</v>
      </c>
    </row>
    <row r="53" spans="1:1" x14ac:dyDescent="0.25">
      <c r="A53" t="s">
        <v>1040</v>
      </c>
    </row>
    <row r="54" spans="1:1" x14ac:dyDescent="0.25">
      <c r="A54" t="s">
        <v>1041</v>
      </c>
    </row>
    <row r="55" spans="1:1" x14ac:dyDescent="0.25">
      <c r="A55" t="s">
        <v>1042</v>
      </c>
    </row>
    <row r="57" spans="1:1" x14ac:dyDescent="0.25">
      <c r="A57" t="s">
        <v>1043</v>
      </c>
    </row>
    <row r="58" spans="1:1" x14ac:dyDescent="0.25">
      <c r="A58" t="s">
        <v>1026</v>
      </c>
    </row>
    <row r="61" spans="1:1" x14ac:dyDescent="0.25">
      <c r="A61" t="s">
        <v>1071</v>
      </c>
    </row>
    <row r="62" spans="1:1" x14ac:dyDescent="0.25">
      <c r="A62" t="s">
        <v>1072</v>
      </c>
    </row>
    <row r="63" spans="1:1" x14ac:dyDescent="0.25">
      <c r="A63" t="s">
        <v>1009</v>
      </c>
    </row>
    <row r="64" spans="1:1" x14ac:dyDescent="0.25">
      <c r="A64" t="s">
        <v>7</v>
      </c>
    </row>
    <row r="65" spans="1:1" x14ac:dyDescent="0.25">
      <c r="A65" t="s">
        <v>1044</v>
      </c>
    </row>
    <row r="66" spans="1:1" x14ac:dyDescent="0.25">
      <c r="A66" t="s">
        <v>1045</v>
      </c>
    </row>
    <row r="67" spans="1:1" x14ac:dyDescent="0.25">
      <c r="A67" t="s">
        <v>1046</v>
      </c>
    </row>
    <row r="68" spans="1:1" x14ac:dyDescent="0.25">
      <c r="A68" t="s">
        <v>1047</v>
      </c>
    </row>
    <row r="69" spans="1:1" x14ac:dyDescent="0.25">
      <c r="A69" t="s">
        <v>13</v>
      </c>
    </row>
    <row r="70" spans="1:1" x14ac:dyDescent="0.25">
      <c r="A70" t="s">
        <v>1048</v>
      </c>
    </row>
    <row r="71" spans="1:1" x14ac:dyDescent="0.25">
      <c r="A71" t="s">
        <v>1049</v>
      </c>
    </row>
    <row r="73" spans="1:1" x14ac:dyDescent="0.25">
      <c r="A73" t="s">
        <v>43</v>
      </c>
    </row>
    <row r="74" spans="1:1" x14ac:dyDescent="0.25">
      <c r="A74" t="s">
        <v>1050</v>
      </c>
    </row>
    <row r="75" spans="1:1" x14ac:dyDescent="0.25">
      <c r="A75" t="s">
        <v>45</v>
      </c>
    </row>
    <row r="76" spans="1:1" x14ac:dyDescent="0.25">
      <c r="A76" t="s">
        <v>1051</v>
      </c>
    </row>
    <row r="77" spans="1:1" x14ac:dyDescent="0.25">
      <c r="A77" t="s">
        <v>1052</v>
      </c>
    </row>
    <row r="78" spans="1:1" x14ac:dyDescent="0.25">
      <c r="A78" t="s">
        <v>1053</v>
      </c>
    </row>
    <row r="80" spans="1:1" x14ac:dyDescent="0.25">
      <c r="A80" t="s">
        <v>1054</v>
      </c>
    </row>
    <row r="83" spans="1:1" x14ac:dyDescent="0.25">
      <c r="A83" t="s">
        <v>1092</v>
      </c>
    </row>
    <row r="84" spans="1:1" x14ac:dyDescent="0.25">
      <c r="A84" t="s">
        <v>1076</v>
      </c>
    </row>
    <row r="85" spans="1:1" x14ac:dyDescent="0.25">
      <c r="A85" t="s">
        <v>1009</v>
      </c>
    </row>
    <row r="86" spans="1:1" x14ac:dyDescent="0.25">
      <c r="A86" t="s">
        <v>7</v>
      </c>
    </row>
    <row r="87" spans="1:1" x14ac:dyDescent="0.25">
      <c r="A87" t="s">
        <v>1077</v>
      </c>
    </row>
    <row r="88" spans="1:1" x14ac:dyDescent="0.25">
      <c r="A88" t="s">
        <v>1078</v>
      </c>
    </row>
    <row r="89" spans="1:1" x14ac:dyDescent="0.25">
      <c r="A89" t="s">
        <v>1079</v>
      </c>
    </row>
    <row r="90" spans="1:1" x14ac:dyDescent="0.25">
      <c r="A90" t="s">
        <v>1080</v>
      </c>
    </row>
    <row r="91" spans="1:1" x14ac:dyDescent="0.25">
      <c r="A91" t="s">
        <v>13</v>
      </c>
    </row>
    <row r="92" spans="1:1" x14ac:dyDescent="0.25">
      <c r="A92" t="s">
        <v>1081</v>
      </c>
    </row>
    <row r="93" spans="1:1" x14ac:dyDescent="0.25">
      <c r="A93" t="s">
        <v>1082</v>
      </c>
    </row>
    <row r="94" spans="1:1" x14ac:dyDescent="0.25">
      <c r="A94" t="s">
        <v>1083</v>
      </c>
    </row>
    <row r="96" spans="1:1" x14ac:dyDescent="0.25">
      <c r="A96" t="s">
        <v>43</v>
      </c>
    </row>
    <row r="97" spans="1:9" x14ac:dyDescent="0.25">
      <c r="A97" t="s">
        <v>1084</v>
      </c>
      <c r="I97">
        <f>6660.85+8827.74</f>
        <v>15488.59</v>
      </c>
    </row>
    <row r="98" spans="1:9" x14ac:dyDescent="0.25">
      <c r="A98" t="s">
        <v>45</v>
      </c>
    </row>
    <row r="99" spans="1:9" x14ac:dyDescent="0.25">
      <c r="A99" t="s">
        <v>1085</v>
      </c>
    </row>
    <row r="100" spans="1:9" x14ac:dyDescent="0.25">
      <c r="A100" t="s">
        <v>1086</v>
      </c>
    </row>
    <row r="101" spans="1:9" x14ac:dyDescent="0.25">
      <c r="A101" t="s">
        <v>1087</v>
      </c>
    </row>
    <row r="102" spans="1:9" x14ac:dyDescent="0.25">
      <c r="A102" t="s">
        <v>1088</v>
      </c>
    </row>
    <row r="103" spans="1:9" x14ac:dyDescent="0.25">
      <c r="A103" t="s">
        <v>1089</v>
      </c>
    </row>
    <row r="105" spans="1:9" x14ac:dyDescent="0.25">
      <c r="A105" t="s">
        <v>1090</v>
      </c>
    </row>
    <row r="109" spans="1:9" x14ac:dyDescent="0.25">
      <c r="A109" t="s">
        <v>1109</v>
      </c>
    </row>
    <row r="110" spans="1:9" x14ac:dyDescent="0.25">
      <c r="A110" t="s">
        <v>1110</v>
      </c>
    </row>
    <row r="111" spans="1:9" x14ac:dyDescent="0.25">
      <c r="A111" t="s">
        <v>1009</v>
      </c>
    </row>
    <row r="112" spans="1:9" x14ac:dyDescent="0.25">
      <c r="A112" t="s">
        <v>7</v>
      </c>
    </row>
    <row r="113" spans="1:1" x14ac:dyDescent="0.25">
      <c r="A113" t="s">
        <v>1094</v>
      </c>
    </row>
    <row r="114" spans="1:1" x14ac:dyDescent="0.25">
      <c r="A114" t="s">
        <v>1095</v>
      </c>
    </row>
    <row r="115" spans="1:1" x14ac:dyDescent="0.25">
      <c r="A115" t="s">
        <v>1096</v>
      </c>
    </row>
    <row r="116" spans="1:1" x14ac:dyDescent="0.25">
      <c r="A116" t="s">
        <v>1097</v>
      </c>
    </row>
    <row r="117" spans="1:1" x14ac:dyDescent="0.25">
      <c r="A117" t="s">
        <v>1098</v>
      </c>
    </row>
    <row r="118" spans="1:1" x14ac:dyDescent="0.25">
      <c r="A118" t="s">
        <v>1099</v>
      </c>
    </row>
    <row r="119" spans="1:1" x14ac:dyDescent="0.25">
      <c r="A119" t="s">
        <v>1100</v>
      </c>
    </row>
    <row r="120" spans="1:1" x14ac:dyDescent="0.25">
      <c r="A120" t="s">
        <v>1101</v>
      </c>
    </row>
    <row r="121" spans="1:1" x14ac:dyDescent="0.25">
      <c r="A121" t="s">
        <v>13</v>
      </c>
    </row>
    <row r="122" spans="1:1" x14ac:dyDescent="0.25">
      <c r="A122" t="s">
        <v>1102</v>
      </c>
    </row>
    <row r="123" spans="1:1" x14ac:dyDescent="0.25">
      <c r="A123" t="s">
        <v>1103</v>
      </c>
    </row>
    <row r="125" spans="1:1" x14ac:dyDescent="0.25">
      <c r="A125" t="s">
        <v>43</v>
      </c>
    </row>
    <row r="126" spans="1:1" x14ac:dyDescent="0.25">
      <c r="A126" t="s">
        <v>1104</v>
      </c>
    </row>
    <row r="127" spans="1:1" x14ac:dyDescent="0.25">
      <c r="A127" t="s">
        <v>45</v>
      </c>
    </row>
    <row r="128" spans="1:1" x14ac:dyDescent="0.25">
      <c r="A128" t="s">
        <v>1105</v>
      </c>
    </row>
    <row r="129" spans="1:1" x14ac:dyDescent="0.25">
      <c r="A129" t="s">
        <v>1106</v>
      </c>
    </row>
    <row r="130" spans="1:1" x14ac:dyDescent="0.25">
      <c r="A130" t="s">
        <v>1107</v>
      </c>
    </row>
    <row r="132" spans="1:1" x14ac:dyDescent="0.25">
      <c r="A132" t="s">
        <v>1108</v>
      </c>
    </row>
    <row r="136" spans="1:1" x14ac:dyDescent="0.25">
      <c r="A136" t="s">
        <v>1127</v>
      </c>
    </row>
    <row r="137" spans="1:1" x14ac:dyDescent="0.25">
      <c r="A137" t="s">
        <v>1114</v>
      </c>
    </row>
    <row r="138" spans="1:1" x14ac:dyDescent="0.25">
      <c r="A138" t="s">
        <v>1009</v>
      </c>
    </row>
    <row r="139" spans="1:1" x14ac:dyDescent="0.25">
      <c r="A139" t="s">
        <v>7</v>
      </c>
    </row>
    <row r="140" spans="1:1" x14ac:dyDescent="0.25">
      <c r="A140" t="s">
        <v>1115</v>
      </c>
    </row>
    <row r="141" spans="1:1" x14ac:dyDescent="0.25">
      <c r="A141" t="s">
        <v>420</v>
      </c>
    </row>
    <row r="142" spans="1:1" x14ac:dyDescent="0.25">
      <c r="A142" t="s">
        <v>417</v>
      </c>
    </row>
    <row r="143" spans="1:1" x14ac:dyDescent="0.25">
      <c r="A143" t="s">
        <v>418</v>
      </c>
    </row>
    <row r="144" spans="1:1" x14ac:dyDescent="0.25">
      <c r="A144" t="s">
        <v>419</v>
      </c>
    </row>
    <row r="145" spans="1:8" x14ac:dyDescent="0.25">
      <c r="A145" t="s">
        <v>1116</v>
      </c>
    </row>
    <row r="146" spans="1:8" x14ac:dyDescent="0.25">
      <c r="A146" t="s">
        <v>421</v>
      </c>
    </row>
    <row r="147" spans="1:8" x14ac:dyDescent="0.25">
      <c r="A147" t="s">
        <v>13</v>
      </c>
    </row>
    <row r="148" spans="1:8" x14ac:dyDescent="0.25">
      <c r="A148" t="s">
        <v>1117</v>
      </c>
    </row>
    <row r="149" spans="1:8" x14ac:dyDescent="0.25">
      <c r="A149" t="s">
        <v>1118</v>
      </c>
    </row>
    <row r="150" spans="1:8" x14ac:dyDescent="0.25">
      <c r="A150" t="s">
        <v>1119</v>
      </c>
    </row>
    <row r="152" spans="1:8" x14ac:dyDescent="0.25">
      <c r="A152" t="s">
        <v>43</v>
      </c>
    </row>
    <row r="153" spans="1:8" x14ac:dyDescent="0.25">
      <c r="A153" t="s">
        <v>1120</v>
      </c>
      <c r="H153">
        <f>7901.21+8239.29</f>
        <v>16140.5</v>
      </c>
    </row>
    <row r="154" spans="1:8" x14ac:dyDescent="0.25">
      <c r="A154" t="s">
        <v>45</v>
      </c>
    </row>
    <row r="155" spans="1:8" x14ac:dyDescent="0.25">
      <c r="A155" t="s">
        <v>1121</v>
      </c>
    </row>
    <row r="156" spans="1:8" x14ac:dyDescent="0.25">
      <c r="A156" t="s">
        <v>1122</v>
      </c>
    </row>
    <row r="157" spans="1:8" x14ac:dyDescent="0.25">
      <c r="A157" t="s">
        <v>1123</v>
      </c>
    </row>
    <row r="158" spans="1:8" x14ac:dyDescent="0.25">
      <c r="A158" t="s">
        <v>1124</v>
      </c>
    </row>
    <row r="159" spans="1:8" x14ac:dyDescent="0.25">
      <c r="A159" t="s">
        <v>1125</v>
      </c>
    </row>
    <row r="161" spans="1:1" x14ac:dyDescent="0.25">
      <c r="A161" t="s">
        <v>1126</v>
      </c>
    </row>
    <row r="164" spans="1:1" x14ac:dyDescent="0.25">
      <c r="A164" t="s">
        <v>1139</v>
      </c>
    </row>
    <row r="165" spans="1:1" x14ac:dyDescent="0.25">
      <c r="A165" t="s">
        <v>1140</v>
      </c>
    </row>
    <row r="166" spans="1:1" x14ac:dyDescent="0.25">
      <c r="A166" t="s">
        <v>1009</v>
      </c>
    </row>
    <row r="167" spans="1:1" x14ac:dyDescent="0.25">
      <c r="A167" t="s">
        <v>7</v>
      </c>
    </row>
    <row r="168" spans="1:1" x14ac:dyDescent="0.25">
      <c r="A168" t="s">
        <v>1128</v>
      </c>
    </row>
    <row r="169" spans="1:1" x14ac:dyDescent="0.25">
      <c r="A169" t="s">
        <v>117</v>
      </c>
    </row>
    <row r="170" spans="1:1" x14ac:dyDescent="0.25">
      <c r="A170" t="s">
        <v>13</v>
      </c>
    </row>
    <row r="171" spans="1:1" x14ac:dyDescent="0.25">
      <c r="A171" t="s">
        <v>1129</v>
      </c>
    </row>
    <row r="172" spans="1:1" x14ac:dyDescent="0.25">
      <c r="A172" t="s">
        <v>1130</v>
      </c>
    </row>
    <row r="173" spans="1:1" x14ac:dyDescent="0.25">
      <c r="A173" t="s">
        <v>1131</v>
      </c>
    </row>
    <row r="175" spans="1:1" x14ac:dyDescent="0.25">
      <c r="A175" t="s">
        <v>43</v>
      </c>
    </row>
    <row r="176" spans="1:1" x14ac:dyDescent="0.25">
      <c r="A176" t="s">
        <v>1132</v>
      </c>
    </row>
    <row r="177" spans="1:7" x14ac:dyDescent="0.25">
      <c r="A177" t="s">
        <v>45</v>
      </c>
      <c r="G177">
        <f>3185.68+5775.1</f>
        <v>8960.7800000000007</v>
      </c>
    </row>
    <row r="178" spans="1:7" x14ac:dyDescent="0.25">
      <c r="A178" t="s">
        <v>1133</v>
      </c>
    </row>
    <row r="179" spans="1:7" x14ac:dyDescent="0.25">
      <c r="A179" t="s">
        <v>1134</v>
      </c>
    </row>
    <row r="180" spans="1:7" x14ac:dyDescent="0.25">
      <c r="A180" t="s">
        <v>1135</v>
      </c>
    </row>
    <row r="181" spans="1:7" x14ac:dyDescent="0.25">
      <c r="A181" t="s">
        <v>1136</v>
      </c>
    </row>
    <row r="182" spans="1:7" x14ac:dyDescent="0.25">
      <c r="A182" t="s">
        <v>1137</v>
      </c>
    </row>
    <row r="184" spans="1:7" x14ac:dyDescent="0.25">
      <c r="A184" t="s">
        <v>1138</v>
      </c>
    </row>
    <row r="185" spans="1:7" x14ac:dyDescent="0.25">
      <c r="A185" t="s">
        <v>1026</v>
      </c>
    </row>
    <row r="189" spans="1:7" x14ac:dyDescent="0.25">
      <c r="A189" t="s">
        <v>1150</v>
      </c>
    </row>
    <row r="190" spans="1:7" x14ac:dyDescent="0.25">
      <c r="A190" t="s">
        <v>1151</v>
      </c>
    </row>
    <row r="191" spans="1:7" x14ac:dyDescent="0.25">
      <c r="A191" t="s">
        <v>1009</v>
      </c>
    </row>
    <row r="192" spans="1:7" x14ac:dyDescent="0.25">
      <c r="A192" t="s">
        <v>7</v>
      </c>
    </row>
    <row r="193" spans="1:1" x14ac:dyDescent="0.25">
      <c r="A193" t="s">
        <v>1142</v>
      </c>
    </row>
    <row r="194" spans="1:1" x14ac:dyDescent="0.25">
      <c r="A194" t="s">
        <v>13</v>
      </c>
    </row>
    <row r="195" spans="1:1" x14ac:dyDescent="0.25">
      <c r="A195" t="s">
        <v>1143</v>
      </c>
    </row>
    <row r="196" spans="1:1" x14ac:dyDescent="0.25">
      <c r="A196" t="s">
        <v>1144</v>
      </c>
    </row>
    <row r="198" spans="1:1" x14ac:dyDescent="0.25">
      <c r="A198" t="s">
        <v>43</v>
      </c>
    </row>
    <row r="199" spans="1:1" x14ac:dyDescent="0.25">
      <c r="A199" t="s">
        <v>1145</v>
      </c>
    </row>
    <row r="200" spans="1:1" x14ac:dyDescent="0.25">
      <c r="A200" t="s">
        <v>45</v>
      </c>
    </row>
    <row r="201" spans="1:1" x14ac:dyDescent="0.25">
      <c r="A201" t="s">
        <v>1146</v>
      </c>
    </row>
    <row r="202" spans="1:1" x14ac:dyDescent="0.25">
      <c r="A202" t="s">
        <v>1147</v>
      </c>
    </row>
    <row r="203" spans="1:1" x14ac:dyDescent="0.25">
      <c r="A203" t="s">
        <v>1148</v>
      </c>
    </row>
    <row r="205" spans="1:1" x14ac:dyDescent="0.25">
      <c r="A205" t="s">
        <v>1149</v>
      </c>
    </row>
    <row r="210" spans="1:1" x14ac:dyDescent="0.25">
      <c r="A210" t="s">
        <v>1173</v>
      </c>
    </row>
    <row r="211" spans="1:1" x14ac:dyDescent="0.25">
      <c r="A211" t="s">
        <v>1155</v>
      </c>
    </row>
    <row r="212" spans="1:1" x14ac:dyDescent="0.25">
      <c r="A212" t="s">
        <v>1009</v>
      </c>
    </row>
    <row r="213" spans="1:1" x14ac:dyDescent="0.25">
      <c r="A213" t="s">
        <v>7</v>
      </c>
    </row>
    <row r="214" spans="1:1" x14ac:dyDescent="0.25">
      <c r="A214" t="s">
        <v>391</v>
      </c>
    </row>
    <row r="215" spans="1:1" x14ac:dyDescent="0.25">
      <c r="A215" t="s">
        <v>1156</v>
      </c>
    </row>
    <row r="216" spans="1:1" x14ac:dyDescent="0.25">
      <c r="A216" t="s">
        <v>396</v>
      </c>
    </row>
    <row r="217" spans="1:1" x14ac:dyDescent="0.25">
      <c r="A217" t="s">
        <v>1157</v>
      </c>
    </row>
    <row r="218" spans="1:1" x14ac:dyDescent="0.25">
      <c r="A218" t="s">
        <v>395</v>
      </c>
    </row>
    <row r="219" spans="1:1" x14ac:dyDescent="0.25">
      <c r="A219" t="s">
        <v>388</v>
      </c>
    </row>
    <row r="220" spans="1:1" x14ac:dyDescent="0.25">
      <c r="A220" t="s">
        <v>1158</v>
      </c>
    </row>
    <row r="221" spans="1:1" x14ac:dyDescent="0.25">
      <c r="A221" t="s">
        <v>1159</v>
      </c>
    </row>
    <row r="222" spans="1:1" x14ac:dyDescent="0.25">
      <c r="A222" t="s">
        <v>393</v>
      </c>
    </row>
    <row r="223" spans="1:1" x14ac:dyDescent="0.25">
      <c r="A223" t="s">
        <v>13</v>
      </c>
    </row>
    <row r="224" spans="1:1" x14ac:dyDescent="0.25">
      <c r="A224" t="s">
        <v>1160</v>
      </c>
    </row>
    <row r="225" spans="1:9" x14ac:dyDescent="0.25">
      <c r="A225" t="s">
        <v>1161</v>
      </c>
    </row>
    <row r="226" spans="1:9" x14ac:dyDescent="0.25">
      <c r="A226" t="s">
        <v>1162</v>
      </c>
    </row>
    <row r="227" spans="1:9" x14ac:dyDescent="0.25">
      <c r="A227" t="s">
        <v>1163</v>
      </c>
    </row>
    <row r="229" spans="1:9" x14ac:dyDescent="0.25">
      <c r="A229" t="s">
        <v>43</v>
      </c>
    </row>
    <row r="230" spans="1:9" x14ac:dyDescent="0.25">
      <c r="A230" t="s">
        <v>1164</v>
      </c>
    </row>
    <row r="231" spans="1:9" x14ac:dyDescent="0.25">
      <c r="A231" t="s">
        <v>45</v>
      </c>
      <c r="I231">
        <f>11651.3+9986.87+12630.86</f>
        <v>34269.03</v>
      </c>
    </row>
    <row r="232" spans="1:9" x14ac:dyDescent="0.25">
      <c r="A232" t="s">
        <v>1165</v>
      </c>
    </row>
    <row r="233" spans="1:9" x14ac:dyDescent="0.25">
      <c r="A233" t="s">
        <v>1166</v>
      </c>
    </row>
    <row r="234" spans="1:9" x14ac:dyDescent="0.25">
      <c r="A234" t="s">
        <v>1167</v>
      </c>
    </row>
    <row r="235" spans="1:9" x14ac:dyDescent="0.25">
      <c r="A235" t="s">
        <v>1168</v>
      </c>
    </row>
    <row r="236" spans="1:9" x14ac:dyDescent="0.25">
      <c r="A236" t="s">
        <v>1169</v>
      </c>
    </row>
    <row r="237" spans="1:9" x14ac:dyDescent="0.25">
      <c r="A237" t="s">
        <v>1170</v>
      </c>
    </row>
    <row r="238" spans="1:9" x14ac:dyDescent="0.25">
      <c r="A238" t="s">
        <v>1171</v>
      </c>
    </row>
    <row r="240" spans="1:9" x14ac:dyDescent="0.25">
      <c r="A240" t="s">
        <v>1172</v>
      </c>
    </row>
    <row r="244" spans="1:1" x14ac:dyDescent="0.25">
      <c r="A244" t="s">
        <v>1194</v>
      </c>
    </row>
    <row r="245" spans="1:1" x14ac:dyDescent="0.25">
      <c r="A245" t="s">
        <v>1174</v>
      </c>
    </row>
    <row r="246" spans="1:1" x14ac:dyDescent="0.25">
      <c r="A246" t="s">
        <v>1009</v>
      </c>
    </row>
    <row r="247" spans="1:1" x14ac:dyDescent="0.25">
      <c r="A247" t="s">
        <v>7</v>
      </c>
    </row>
    <row r="248" spans="1:1" x14ac:dyDescent="0.25">
      <c r="A248" t="s">
        <v>138</v>
      </c>
    </row>
    <row r="249" spans="1:1" x14ac:dyDescent="0.25">
      <c r="A249" t="s">
        <v>140</v>
      </c>
    </row>
    <row r="250" spans="1:1" x14ac:dyDescent="0.25">
      <c r="A250" t="s">
        <v>137</v>
      </c>
    </row>
    <row r="251" spans="1:1" x14ac:dyDescent="0.25">
      <c r="A251" t="s">
        <v>1175</v>
      </c>
    </row>
    <row r="252" spans="1:1" x14ac:dyDescent="0.25">
      <c r="A252" t="s">
        <v>13</v>
      </c>
    </row>
    <row r="253" spans="1:1" x14ac:dyDescent="0.25">
      <c r="A253" t="s">
        <v>1176</v>
      </c>
    </row>
    <row r="254" spans="1:1" x14ac:dyDescent="0.25">
      <c r="A254" t="s">
        <v>1177</v>
      </c>
    </row>
    <row r="255" spans="1:1" x14ac:dyDescent="0.25">
      <c r="A255" t="s">
        <v>1178</v>
      </c>
    </row>
    <row r="256" spans="1:1" x14ac:dyDescent="0.25">
      <c r="A256" t="s">
        <v>1179</v>
      </c>
    </row>
    <row r="257" spans="1:8" x14ac:dyDescent="0.25">
      <c r="A257" t="s">
        <v>1180</v>
      </c>
    </row>
    <row r="259" spans="1:8" x14ac:dyDescent="0.25">
      <c r="A259" t="s">
        <v>43</v>
      </c>
    </row>
    <row r="260" spans="1:8" x14ac:dyDescent="0.25">
      <c r="A260" t="s">
        <v>1181</v>
      </c>
    </row>
    <row r="261" spans="1:8" x14ac:dyDescent="0.25">
      <c r="A261" t="s">
        <v>45</v>
      </c>
      <c r="H261">
        <f>2423+2480.47+4426.16+6014.69</f>
        <v>15344.32</v>
      </c>
    </row>
    <row r="262" spans="1:8" x14ac:dyDescent="0.25">
      <c r="A262" t="s">
        <v>1182</v>
      </c>
    </row>
    <row r="263" spans="1:8" x14ac:dyDescent="0.25">
      <c r="A263" t="s">
        <v>1183</v>
      </c>
    </row>
    <row r="264" spans="1:8" x14ac:dyDescent="0.25">
      <c r="A264" t="s">
        <v>1184</v>
      </c>
    </row>
    <row r="265" spans="1:8" x14ac:dyDescent="0.25">
      <c r="A265" t="s">
        <v>1185</v>
      </c>
    </row>
    <row r="266" spans="1:8" x14ac:dyDescent="0.25">
      <c r="A266" t="s">
        <v>1186</v>
      </c>
    </row>
    <row r="267" spans="1:8" x14ac:dyDescent="0.25">
      <c r="A267" t="s">
        <v>1187</v>
      </c>
    </row>
    <row r="268" spans="1:8" x14ac:dyDescent="0.25">
      <c r="A268" t="s">
        <v>1188</v>
      </c>
    </row>
    <row r="269" spans="1:8" x14ac:dyDescent="0.25">
      <c r="A269" t="s">
        <v>1189</v>
      </c>
    </row>
    <row r="270" spans="1:8" x14ac:dyDescent="0.25">
      <c r="A270" t="s">
        <v>152</v>
      </c>
    </row>
    <row r="272" spans="1:8" x14ac:dyDescent="0.25">
      <c r="A272" t="s">
        <v>1190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E0B9-2AE1-4176-8655-221E8970C07F}">
  <dimension ref="A1:L13"/>
  <sheetViews>
    <sheetView tabSelected="1" workbookViewId="0">
      <selection activeCell="F18" sqref="F18"/>
    </sheetView>
  </sheetViews>
  <sheetFormatPr defaultRowHeight="15" x14ac:dyDescent="0.25"/>
  <cols>
    <col min="1" max="1" width="11.28515625" bestFit="1" customWidth="1"/>
    <col min="3" max="3" width="12.42578125" bestFit="1" customWidth="1"/>
    <col min="4" max="4" width="13.5703125" bestFit="1" customWidth="1"/>
    <col min="5" max="5" width="41.7109375" bestFit="1" customWidth="1"/>
    <col min="6" max="6" width="18.7109375" bestFit="1" customWidth="1"/>
    <col min="7" max="7" width="18.7109375" customWidth="1"/>
    <col min="8" max="8" width="26.140625" bestFit="1" customWidth="1"/>
    <col min="9" max="9" width="26.140625" customWidth="1"/>
    <col min="11" max="11" width="18.5703125" customWidth="1"/>
    <col min="12" max="12" width="20" bestFit="1" customWidth="1"/>
  </cols>
  <sheetData>
    <row r="1" spans="1:12" x14ac:dyDescent="0.25">
      <c r="A1" t="s">
        <v>1055</v>
      </c>
    </row>
    <row r="2" spans="1:12" x14ac:dyDescent="0.25">
      <c r="A2" s="9" t="s">
        <v>1056</v>
      </c>
      <c r="B2" s="9" t="s">
        <v>1057</v>
      </c>
      <c r="C2" s="9" t="s">
        <v>1059</v>
      </c>
      <c r="D2" s="9" t="s">
        <v>1060</v>
      </c>
      <c r="E2" s="9" t="s">
        <v>1058</v>
      </c>
      <c r="F2" s="9" t="s">
        <v>1061</v>
      </c>
      <c r="G2" s="9" t="s">
        <v>1067</v>
      </c>
      <c r="H2" s="9" t="s">
        <v>1062</v>
      </c>
      <c r="I2" s="9" t="s">
        <v>1067</v>
      </c>
      <c r="J2" s="9" t="s">
        <v>1063</v>
      </c>
      <c r="K2" s="9" t="s">
        <v>1111</v>
      </c>
      <c r="L2" s="9" t="s">
        <v>1112</v>
      </c>
    </row>
    <row r="3" spans="1:12" x14ac:dyDescent="0.25">
      <c r="A3" s="9">
        <v>1</v>
      </c>
      <c r="B3" s="9">
        <v>10</v>
      </c>
      <c r="C3" s="9">
        <v>3</v>
      </c>
      <c r="D3" s="9" t="s">
        <v>209</v>
      </c>
      <c r="E3" s="9" t="s">
        <v>1064</v>
      </c>
      <c r="F3" s="10">
        <v>9979.7800000000007</v>
      </c>
      <c r="G3" s="10">
        <v>62.44</v>
      </c>
      <c r="H3" s="9">
        <v>240596</v>
      </c>
      <c r="I3" s="9">
        <v>147</v>
      </c>
      <c r="J3" s="9">
        <f>H3-F3</f>
        <v>230616.22</v>
      </c>
      <c r="K3" s="9" t="s">
        <v>1113</v>
      </c>
      <c r="L3" s="9" t="s">
        <v>1113</v>
      </c>
    </row>
    <row r="4" spans="1:12" x14ac:dyDescent="0.25">
      <c r="A4" s="9">
        <v>2</v>
      </c>
      <c r="B4" s="9">
        <v>0</v>
      </c>
      <c r="C4" s="9">
        <v>3</v>
      </c>
      <c r="D4" s="9" t="s">
        <v>153</v>
      </c>
      <c r="E4" s="9" t="s">
        <v>1070</v>
      </c>
      <c r="F4" s="10">
        <v>24608.07</v>
      </c>
      <c r="G4" s="10">
        <v>121.12</v>
      </c>
      <c r="H4" s="9">
        <v>240050</v>
      </c>
      <c r="I4" s="9">
        <v>149</v>
      </c>
      <c r="J4" s="9">
        <f>H4-F4</f>
        <v>215441.93</v>
      </c>
      <c r="K4" s="9" t="s">
        <v>1113</v>
      </c>
      <c r="L4" s="9" t="s">
        <v>1113</v>
      </c>
    </row>
    <row r="5" spans="1:12" x14ac:dyDescent="0.25">
      <c r="A5" s="9">
        <v>3</v>
      </c>
      <c r="B5" s="9">
        <v>368</v>
      </c>
      <c r="C5" s="9">
        <v>1</v>
      </c>
      <c r="D5" s="9" t="s">
        <v>1074</v>
      </c>
      <c r="E5" s="9" t="s">
        <v>1073</v>
      </c>
      <c r="F5" s="10">
        <v>11841.97</v>
      </c>
      <c r="G5" s="10">
        <v>49.06</v>
      </c>
      <c r="H5" s="9">
        <v>205303</v>
      </c>
      <c r="I5" s="9">
        <v>129</v>
      </c>
      <c r="J5" s="9">
        <f>H5-F5</f>
        <v>193461.03</v>
      </c>
      <c r="K5" s="9" t="s">
        <v>1113</v>
      </c>
      <c r="L5" s="9" t="s">
        <v>1113</v>
      </c>
    </row>
    <row r="6" spans="1:12" x14ac:dyDescent="0.25">
      <c r="A6" s="9">
        <v>4</v>
      </c>
      <c r="B6" s="9">
        <v>522</v>
      </c>
      <c r="C6" s="9">
        <v>2</v>
      </c>
      <c r="D6" s="9" t="s">
        <v>362</v>
      </c>
      <c r="E6" s="9" t="s">
        <v>1075</v>
      </c>
      <c r="F6" s="10">
        <v>15488.59</v>
      </c>
      <c r="G6" s="10">
        <v>55.48</v>
      </c>
      <c r="H6" s="9">
        <v>229070</v>
      </c>
      <c r="I6" s="9">
        <v>128</v>
      </c>
      <c r="J6" s="9">
        <f>H6-F6</f>
        <v>213581.41</v>
      </c>
      <c r="K6" s="9" t="s">
        <v>1113</v>
      </c>
      <c r="L6" s="9" t="s">
        <v>1113</v>
      </c>
    </row>
    <row r="7" spans="1:12" x14ac:dyDescent="0.25">
      <c r="A7" s="9">
        <v>5</v>
      </c>
      <c r="B7" s="9">
        <v>261</v>
      </c>
      <c r="C7" s="9">
        <v>1</v>
      </c>
      <c r="D7" s="9" t="s">
        <v>1093</v>
      </c>
      <c r="E7" s="9" t="s">
        <v>1091</v>
      </c>
      <c r="F7" s="10">
        <v>18049.02</v>
      </c>
      <c r="G7" s="10">
        <v>65.53</v>
      </c>
      <c r="H7" s="9">
        <v>206103</v>
      </c>
      <c r="I7" s="9">
        <v>118</v>
      </c>
      <c r="J7" s="9">
        <f>H7-F7</f>
        <v>188053.98</v>
      </c>
      <c r="K7" s="9" t="s">
        <v>1113</v>
      </c>
      <c r="L7" s="9" t="s">
        <v>1113</v>
      </c>
    </row>
    <row r="8" spans="1:12" x14ac:dyDescent="0.25">
      <c r="A8" s="9">
        <v>6</v>
      </c>
      <c r="B8" s="9">
        <v>267</v>
      </c>
      <c r="C8" s="9">
        <v>2</v>
      </c>
      <c r="D8" s="9" t="s">
        <v>409</v>
      </c>
      <c r="E8" s="9" t="s">
        <v>433</v>
      </c>
      <c r="F8" s="10">
        <v>16140.5</v>
      </c>
      <c r="G8" s="10">
        <v>68.47</v>
      </c>
      <c r="H8" s="9">
        <v>229501</v>
      </c>
      <c r="I8" s="9">
        <v>106</v>
      </c>
      <c r="J8" s="9">
        <f>H8-F8</f>
        <v>213360.5</v>
      </c>
      <c r="K8" s="9" t="s">
        <v>1113</v>
      </c>
      <c r="L8" s="9" t="s">
        <v>1113</v>
      </c>
    </row>
    <row r="9" spans="1:12" x14ac:dyDescent="0.25">
      <c r="A9" s="9">
        <v>7</v>
      </c>
      <c r="B9" s="9">
        <v>223</v>
      </c>
      <c r="C9" s="9">
        <v>2</v>
      </c>
      <c r="D9" s="9" t="s">
        <v>1141</v>
      </c>
      <c r="E9" s="9" t="s">
        <v>130</v>
      </c>
      <c r="F9" s="10">
        <v>8960.7800000000007</v>
      </c>
      <c r="G9" s="10">
        <v>44.31</v>
      </c>
      <c r="H9" s="9">
        <v>215231</v>
      </c>
      <c r="I9" s="9">
        <v>148</v>
      </c>
      <c r="J9" s="9">
        <f>H9-F9</f>
        <v>206270.22</v>
      </c>
      <c r="K9" s="9" t="s">
        <v>1113</v>
      </c>
      <c r="L9" s="9" t="s">
        <v>1113</v>
      </c>
    </row>
    <row r="10" spans="1:12" x14ac:dyDescent="0.25">
      <c r="A10" s="9">
        <v>8</v>
      </c>
      <c r="B10" s="9">
        <v>32</v>
      </c>
      <c r="C10" s="9">
        <v>1</v>
      </c>
      <c r="D10" s="9" t="s">
        <v>1153</v>
      </c>
      <c r="E10" s="9" t="s">
        <v>1152</v>
      </c>
      <c r="F10" s="10">
        <v>2090.0700000000002</v>
      </c>
      <c r="G10" s="10">
        <v>12.41</v>
      </c>
      <c r="H10" s="9">
        <v>195855</v>
      </c>
      <c r="I10" s="9">
        <v>128</v>
      </c>
      <c r="J10" s="9">
        <f>H10-F10</f>
        <v>193764.93</v>
      </c>
      <c r="K10" s="9" t="s">
        <v>1113</v>
      </c>
      <c r="L10" s="9" t="s">
        <v>1113</v>
      </c>
    </row>
    <row r="11" spans="1:12" x14ac:dyDescent="0.25">
      <c r="A11" s="9">
        <v>9</v>
      </c>
      <c r="B11" s="9">
        <v>113</v>
      </c>
      <c r="C11" s="9">
        <v>3</v>
      </c>
      <c r="D11" s="9" t="s">
        <v>1192</v>
      </c>
      <c r="E11" s="9" t="s">
        <v>1154</v>
      </c>
      <c r="F11" s="10">
        <f>11651.3+9986.87+12630.86</f>
        <v>34269.03</v>
      </c>
      <c r="G11" s="10">
        <v>141.78</v>
      </c>
      <c r="H11" s="9">
        <v>250536</v>
      </c>
      <c r="I11" s="9">
        <v>188</v>
      </c>
      <c r="J11" s="9">
        <f>H11-F11</f>
        <v>216266.97</v>
      </c>
      <c r="K11" s="9" t="s">
        <v>1113</v>
      </c>
      <c r="L11" s="9" t="s">
        <v>1113</v>
      </c>
    </row>
    <row r="12" spans="1:12" x14ac:dyDescent="0.25">
      <c r="A12" s="9">
        <v>10</v>
      </c>
      <c r="B12" s="9">
        <v>77</v>
      </c>
      <c r="C12" s="9">
        <v>4</v>
      </c>
      <c r="D12" s="9" t="s">
        <v>1191</v>
      </c>
      <c r="E12" s="9" t="s">
        <v>1193</v>
      </c>
      <c r="F12" s="9">
        <f>2423+2480.47+4426.16+6014.69</f>
        <v>15344.32</v>
      </c>
      <c r="G12" s="10">
        <v>98.93</v>
      </c>
      <c r="H12" s="9">
        <v>230223</v>
      </c>
      <c r="I12" s="9">
        <v>182</v>
      </c>
      <c r="J12" s="9">
        <f>H12-F12</f>
        <v>214878.68</v>
      </c>
      <c r="K12" s="9" t="s">
        <v>1113</v>
      </c>
      <c r="L12" s="9" t="s">
        <v>1113</v>
      </c>
    </row>
    <row r="13" spans="1:12" x14ac:dyDescent="0.25">
      <c r="G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offline</vt:lpstr>
      <vt:lpstr>onlineplan</vt:lpstr>
      <vt:lpstr>allofflinescenarios</vt:lpstr>
      <vt:lpstr>allonline scenarios</vt:lpstr>
      <vt:lpstr>deterministic all_RL</vt:lpstr>
      <vt:lpstr>COMPARISON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Felek8</dc:creator>
  <cp:lastModifiedBy>Felek8</cp:lastModifiedBy>
  <dcterms:created xsi:type="dcterms:W3CDTF">2015-06-05T18:17:20Z</dcterms:created>
  <dcterms:modified xsi:type="dcterms:W3CDTF">2025-12-03T13:38:05Z</dcterms:modified>
</cp:coreProperties>
</file>